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iti\Desktop\Sams Club Files\"/>
    </mc:Choice>
  </mc:AlternateContent>
  <xr:revisionPtr revIDLastSave="0" documentId="8_{CC36046D-4651-421B-9441-FA0375C0703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1" l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AB3" i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Parth Jhala</author>
  </authors>
  <commentList>
    <comment ref="G28" authorId="0" shapeId="0" xr:uid="{618488DC-AE80-4E2F-BF43-28E607512C1B}">
      <text>
        <r>
          <rPr>
            <b/>
            <sz val="9"/>
            <color indexed="81"/>
            <rFont val="Tahoma"/>
            <family val="2"/>
          </rPr>
          <t>Parth Jhala:</t>
        </r>
        <r>
          <rPr>
            <sz val="9"/>
            <color indexed="81"/>
            <rFont val="Tahoma"/>
            <family val="2"/>
          </rPr>
          <t xml:space="preserve">
as per cass 30ml is very ltd so she said you can ship 100ml 
</t>
        </r>
      </text>
    </comment>
    <comment ref="G29" authorId="0" shapeId="0" xr:uid="{E74EABDF-AE7E-48E3-A47B-B003B6669712}">
      <text>
        <r>
          <rPr>
            <b/>
            <sz val="9"/>
            <color indexed="81"/>
            <rFont val="Tahoma"/>
            <family val="2"/>
          </rPr>
          <t>Parth Jhala:</t>
        </r>
        <r>
          <rPr>
            <sz val="9"/>
            <color indexed="81"/>
            <rFont val="Tahoma"/>
            <family val="2"/>
          </rPr>
          <t xml:space="preserve">
as per cass 30ml is very ltd so she said you can ship 100ml 
</t>
        </r>
      </text>
    </comment>
    <comment ref="G31" authorId="0" shapeId="0" xr:uid="{BCE97B15-F6DF-4D57-AF37-AB78A6C9F279}">
      <text>
        <r>
          <rPr>
            <b/>
            <sz val="9"/>
            <color indexed="81"/>
            <rFont val="Tahoma"/>
            <family val="2"/>
          </rPr>
          <t>Parth Jhala:</t>
        </r>
        <r>
          <rPr>
            <sz val="9"/>
            <color indexed="81"/>
            <rFont val="Tahoma"/>
            <family val="2"/>
          </rPr>
          <t xml:space="preserve">
as per cass 30ml is very ltd so she said you can ship 100ml 
</t>
        </r>
      </text>
    </comment>
    <comment ref="G40" authorId="0" shapeId="0" xr:uid="{FFA2A03A-68C8-4E3C-A7C9-F88478812795}">
      <text>
        <r>
          <rPr>
            <b/>
            <sz val="9"/>
            <color indexed="81"/>
            <rFont val="Tahoma"/>
            <family val="2"/>
          </rPr>
          <t>Parth Jhala:</t>
        </r>
        <r>
          <rPr>
            <sz val="9"/>
            <color indexed="81"/>
            <rFont val="Tahoma"/>
            <family val="2"/>
          </rPr>
          <t xml:space="preserve">
Discontinued -- only size available is 3.3 oz</t>
        </r>
      </text>
    </comment>
  </commentList>
</comments>
</file>

<file path=xl/sharedStrings.xml><?xml version="1.0" encoding="utf-8"?>
<sst xmlns="http://schemas.openxmlformats.org/spreadsheetml/2006/main" count="618" uniqueCount="246">
  <si>
    <t>Item Number</t>
  </si>
  <si>
    <t xml:space="preserve">Item Description </t>
  </si>
  <si>
    <t xml:space="preserve">Brand </t>
  </si>
  <si>
    <t>Oz Size</t>
  </si>
  <si>
    <t xml:space="preserve">Supplier </t>
  </si>
  <si>
    <t xml:space="preserve">Cost </t>
  </si>
  <si>
    <t xml:space="preserve">Total Outstanding Commitment Qty </t>
  </si>
  <si>
    <t xml:space="preserve">BURBERRY TOUCH EAU DE TOILETTE  SPRAY 3.3 FL OZ </t>
  </si>
  <si>
    <t>BURBERRY</t>
  </si>
  <si>
    <t>3.3 OZ</t>
  </si>
  <si>
    <t>MBF</t>
  </si>
  <si>
    <t xml:space="preserve">CALVIN KLEIN  EUPHORIA EAU D E PARFUM  SPRAY 3.3 FL OZ  </t>
  </si>
  <si>
    <t>EUPHORIA</t>
  </si>
  <si>
    <t xml:space="preserve">VERSACE POUR HOMME EAU DE TOILETTE SPRAY 1.7 FL OZ </t>
  </si>
  <si>
    <t xml:space="preserve">VERSACE </t>
  </si>
  <si>
    <t xml:space="preserve">1.7 OZ </t>
  </si>
  <si>
    <t xml:space="preserve">ARIANA GRANDE CLOUD EAU DE PARFUM SPRAY 3.4 FL OZ   </t>
  </si>
  <si>
    <t>ARIANA</t>
  </si>
  <si>
    <t xml:space="preserve">3.4 OZ </t>
  </si>
  <si>
    <t xml:space="preserve">MONT BLANC MEN  LEGEND EAU DE TOILETTE SPRAY 3.3L FL OZ </t>
  </si>
  <si>
    <t>MONT BLANC</t>
  </si>
  <si>
    <t xml:space="preserve">YVES SAINT LAURENT  LIBRE EAU DE PARFUM SPRAY 1.0 FL OZ </t>
  </si>
  <si>
    <t xml:space="preserve">YSL </t>
  </si>
  <si>
    <t>1.0 OZ</t>
  </si>
  <si>
    <t>CAROLINA HERRERA</t>
  </si>
  <si>
    <t xml:space="preserve">JULIETTE HAS A GUN  NOT A PERFUME EAU DE PARFUM SPRAY 3.3 FL OZ </t>
  </si>
  <si>
    <t>JHAG</t>
  </si>
  <si>
    <t xml:space="preserve">3.3 OZ </t>
  </si>
  <si>
    <t xml:space="preserve">BLOOM EAU D E PARFUM SPRAY 3.3 FL OZ </t>
  </si>
  <si>
    <t>GUCCI</t>
  </si>
  <si>
    <t xml:space="preserve">ARIANA GRANDE SWEET LIKE CANDY EAU DE PARFUM SPRAY 3.4 FL OZ </t>
  </si>
  <si>
    <t xml:space="preserve">GUCCI FLORA GORGEOUS GARDENIA EAU DE PARFUM SPRAY 3.3 FL OZ </t>
  </si>
  <si>
    <t xml:space="preserve">PRADA PARADOXE  EAU DE PARFUM SPRAY 1.0 FL OZ  </t>
  </si>
  <si>
    <t>PRADA</t>
  </si>
  <si>
    <t xml:space="preserve">1.0 OZ </t>
  </si>
  <si>
    <t xml:space="preserve">YVES SAINT LAURENT  Y EAU DE PARFUM SPRAY 2.0 FL OZ </t>
  </si>
  <si>
    <t>2.0 OZ</t>
  </si>
  <si>
    <t xml:space="preserve">CREED AVENTUS  EAU DE PARFUM SPRAY 3.3 FL OZ </t>
  </si>
  <si>
    <t>CREED</t>
  </si>
  <si>
    <t xml:space="preserve">VIKTOR &amp; ROLF  SPICE BOMB EAU DE TOILETTE SPRAY 3.4 FL OZ </t>
  </si>
  <si>
    <t xml:space="preserve">V&amp;R </t>
  </si>
  <si>
    <t>1.6 OZ</t>
  </si>
  <si>
    <t>BURBERRY GODDESS  EAU DE PARFUM  SPRAY 3.3 FL OZ</t>
  </si>
  <si>
    <t xml:space="preserve">CHLOE EAU DE PARFUM SPRAY 1.6 FL OZ </t>
  </si>
  <si>
    <t>CHLOE</t>
  </si>
  <si>
    <t xml:space="preserve">1.6 OZ </t>
  </si>
  <si>
    <t xml:space="preserve">OMBRE LEATHER EAU DE PARFUM SPRAY 3.4 FL OZ  </t>
  </si>
  <si>
    <t xml:space="preserve">TOM FORD </t>
  </si>
  <si>
    <t>VALENTINO DONNA BORN IN ROMA EAU DE PARFUM SPRAY 3.4 FL OZ</t>
  </si>
  <si>
    <t>VALENTINO</t>
  </si>
  <si>
    <t>VALENTINO DONNA BORN IN ROMA GREEN STRAVAGANZA EAU DE PARFUM SPRAY 1.7 FL OZ</t>
  </si>
  <si>
    <t>JO MALONE LONDON ENGLISH PEAR &amp; FREESIA COLOGNE SPRAY 3.4 FL OZ</t>
  </si>
  <si>
    <t>JO MALONE</t>
  </si>
  <si>
    <t xml:space="preserve">JO MALONE LONDON BLACK BEERY &amp; BAY COLOGNE  SPRAY 3.4 FL OZ </t>
  </si>
  <si>
    <t xml:space="preserve">TOM FORD LOST CHERRY EAU DE PARFUM SPRAY 1.7 FL OZ </t>
  </si>
  <si>
    <t>DOLCE GABBANA</t>
  </si>
  <si>
    <t xml:space="preserve">DOLCE &amp; GABBANA  POUR HOMME  EAU DE TOILETTE SPRAY 4.2 FL OZ </t>
  </si>
  <si>
    <t>4.2 OZ</t>
  </si>
  <si>
    <t xml:space="preserve">VIKTOR &amp; ROLF GOOD FORTUNE EAU DE PARFUM  SPRAY 1.7 FL OZ </t>
  </si>
  <si>
    <t>VALENTINO UOMO BORN IN ROMA  EAU DE TOILETTE  SPRAY 3.4 FL OZ</t>
  </si>
  <si>
    <t xml:space="preserve">CREED GREEN IRISH TWEED EAU DE PARFUM SPRAY 3.3 FL OZ </t>
  </si>
  <si>
    <t xml:space="preserve">CREED MILLÉSIME IMPÉRIAL EAU DE PARFUM SPRAY 3.3 FL OZ </t>
  </si>
  <si>
    <t xml:space="preserve">CREED SILVER MOUNTAIN WATER EAU DE PARFUM SPRAY 3.3 FL OZ  </t>
  </si>
  <si>
    <t xml:space="preserve">CREED AVENTUS FOR HER EAU DE PARFUM SPRAY 2.5 FL OZ </t>
  </si>
  <si>
    <t>2.5 OZ</t>
  </si>
  <si>
    <t xml:space="preserve">CHLOE SIGNATURE (W) 2PC SET: EAU DE PARFUM SPRAY 2.5 FL OZ + EAU DE PARFUM SPRAY 0.67 FL OZ SET </t>
  </si>
  <si>
    <t xml:space="preserve">CHLOE </t>
  </si>
  <si>
    <t xml:space="preserve">SET </t>
  </si>
  <si>
    <t xml:space="preserve">DIOR SAUVAGE EAU DE PARFUM SPRAY 2.0 FL OZ </t>
  </si>
  <si>
    <t xml:space="preserve">DIOR </t>
  </si>
  <si>
    <t xml:space="preserve">2.0 OZ </t>
  </si>
  <si>
    <t xml:space="preserve">DIOR SAUVAGE EAU DE PARFUM 3.4 FL OZ  </t>
  </si>
  <si>
    <t xml:space="preserve">KILIAN ANGELS' SHARE EAU DE PARFUM  SPRAY 1.7 FL OZ </t>
  </si>
  <si>
    <t>KILIAN</t>
  </si>
  <si>
    <t xml:space="preserve">KILIAN ROSES ON ICE BY KILIAN EAU DE PARFUM  SPRAY 1.7 FL OZ </t>
  </si>
  <si>
    <t xml:space="preserve">KILIAN GOOD GIRL GONE BAD EAU DE PARFUM  SPRAY 1.7 FL OZ </t>
  </si>
  <si>
    <t>KILIAN LOVE DON'T BE SHY EAU DE PARFUM SPRAY 1.7 FL OZ</t>
  </si>
  <si>
    <t xml:space="preserve">KILIAN ROLLING IN LOVE EAU DE PARFUM SPRAY 1.7 FL OZ  </t>
  </si>
  <si>
    <t xml:space="preserve">CAROLINA HERRERA GOOD GIRL BLUSH EAU DE PARFUM  SPRAY 1.0 FL OZ </t>
  </si>
  <si>
    <t xml:space="preserve">CREED CARMINA EAU DE PARFUM SPRAY 2.5 FL OZ  </t>
  </si>
  <si>
    <t xml:space="preserve">CREED </t>
  </si>
  <si>
    <t xml:space="preserve">CREED QUEEN OF SILK  EAU DE PARFUM  SPRAY 2.5 FL OZ </t>
  </si>
  <si>
    <t xml:space="preserve">BYREDO MOJAVE GHOST EAU DE PARFUM SPRAY 3.4 FL OZ </t>
  </si>
  <si>
    <t>BYREDO</t>
  </si>
  <si>
    <t xml:space="preserve">BYREDO BAL D'AFRIQUE EAU DE PARFUM SPRAY 3.4 FL OZ  </t>
  </si>
  <si>
    <t>JO MALONE WOOD SAGE &amp; SEA SALT COLOGNE SPRAY 3.4 FL OZ</t>
  </si>
  <si>
    <t xml:space="preserve">BURBERRY MY BURBERRY BLUSH EAU DE PARFUM  SPRAY 3.0 FL OZ </t>
  </si>
  <si>
    <t>3.0 OZ</t>
  </si>
  <si>
    <t xml:space="preserve">MICHAEL KORS SEXY AMBER EAU DE PARFUM  SPRAY 3.4 FL OZ  </t>
  </si>
  <si>
    <t>MICHAEL KORS</t>
  </si>
  <si>
    <t xml:space="preserve">MICHAEL KORS GORGEOUS EAU DE PARFUM SPRAY 3.4 FL OZ </t>
  </si>
  <si>
    <t>3.4 OZ</t>
  </si>
  <si>
    <t>MICHAEL KORS WONDERLUST EAU DE PARFUM SPRAY 3.4 FL OZ</t>
  </si>
  <si>
    <t xml:space="preserve">VIKTOR &amp; ROLF SPICEBOMB EXTREME EAU DE PARFUM SPRAY 3.4 FL OZ </t>
  </si>
  <si>
    <t>V&amp;ROLF</t>
  </si>
  <si>
    <t xml:space="preserve">BYREDO BALD'AFRIQUE EAU DE PARFUM SPRAY 1.7 FL OZ </t>
  </si>
  <si>
    <t>1.7 OZ</t>
  </si>
  <si>
    <t>JO MALONE CYPRESS AND GRAPEVINE  COLOGNE INTENSE SPRAY 3.4 FL OZ</t>
  </si>
  <si>
    <t xml:space="preserve">BYREDO MOJAVE GHOST EAU DE PARFUM SPRAY 1.7 FL OZ </t>
  </si>
  <si>
    <t xml:space="preserve">YSL LA NUIT DE L'HOMME (M) 2PCS SET: EAU DE TOILETTE SPRAY 3.4 FL OZ +SHOWER GEL 1.7 FL OZ TRAVEL SET </t>
  </si>
  <si>
    <t xml:space="preserve">ARIIANA GRANDE MOD VANILLA  EAU DE PARFUM SPRAY 3.4 FL OZ </t>
  </si>
  <si>
    <t xml:space="preserve">ARIANA GRANDE </t>
  </si>
  <si>
    <t xml:space="preserve">GUCCI BLOOM EAU DE PARFUM SPRAY 1.0 FL OZ  </t>
  </si>
  <si>
    <t xml:space="preserve">GIOGIO ARMANI EMPORIO ARMANI STRONGER WITH YOU INTENSELY EAU DE PARFUM  SPRAY 3.4 FL OZ </t>
  </si>
  <si>
    <t xml:space="preserve">EMPORIO ARMANI </t>
  </si>
  <si>
    <t xml:space="preserve">VERSACE EAU FRAICHE EAU DE TOILETTE SPRAY 1.7 FL OZ (REF# V500008) </t>
  </si>
  <si>
    <t xml:space="preserve">VERSACE EROS EAU DE TOILETTE SPRAY 1.7 FL OZ (Ref #740008) </t>
  </si>
  <si>
    <t xml:space="preserve">VERSACE POUR HOMME EAU DE TOILETTE SPRAY 3.4 FL OZ  </t>
  </si>
  <si>
    <t>990419662 </t>
  </si>
  <si>
    <t xml:space="preserve">PARFUMS DE MARLY PEGASUS EAU DE PARFUM SPRAY 4.2 FL OZ </t>
  </si>
  <si>
    <t>PARFUMS DE MARLY</t>
  </si>
  <si>
    <t xml:space="preserve">PARFUMS DE MARLY CASSILI EAU DE PARFUM SPRAY 2.5 FL OZ </t>
  </si>
  <si>
    <t>GUCCI FLORA GORGEOUS GARDENIA EAU DE PARFUM  2PCS SET: 3.3 FL OZ L + .33 FL OZ PEN</t>
  </si>
  <si>
    <t>GUCCI GORGEOUS</t>
  </si>
  <si>
    <t>MARC JACOBS DAISY (W) 2PC SET: EAU DE TOILETTE  SPRAY  3.3 FL OZ + BODY LOTION 2.5 FL OZ )</t>
  </si>
  <si>
    <t>MARC JACOBS</t>
  </si>
  <si>
    <t xml:space="preserve">AZZARO THE MOST WANTED PARFUM SPRAY 3.38 FL OZ </t>
  </si>
  <si>
    <t>AZZARO</t>
  </si>
  <si>
    <t xml:space="preserve">VERSACE EROS FLAME EAU DE PARFUM SPRAY 3.4 FL OZ  (Ref #741010) </t>
  </si>
  <si>
    <t xml:space="preserve">GUCCI FLORA  GORGEOUS MAGNOLIA EAU DE PARFUM SPRAY 3.4 FL OZ </t>
  </si>
  <si>
    <t xml:space="preserve">LE LABO SANTAL 33  EAU DE PARFUM SPRAY 3.4  FL OZ </t>
  </si>
  <si>
    <t>LE LEBO</t>
  </si>
  <si>
    <t xml:space="preserve">ARMANI BEAUTY ARMANI CODE EAU DE TOILETTE SPRAY 4.2 FL OZ </t>
  </si>
  <si>
    <t>ARMANI</t>
  </si>
  <si>
    <t xml:space="preserve">PRADA LUNA ROSSA BLACK  EAU DE PARFUM SPRAY 3.4 FL OZ </t>
  </si>
  <si>
    <t xml:space="preserve">GUCCI GUILTY (M) 2PC SET: EAU DE TOILETTE SPRAY  3.0 FL OZ  +  DEO STICK  2.4 FL OZ (TRAVEL COLLECTION) </t>
  </si>
  <si>
    <t xml:space="preserve">TOM FORD BLACK ORCHID EAU DE PARFUM SPRAY 3.4 FL OZ </t>
  </si>
  <si>
    <t>TOM FORD</t>
  </si>
  <si>
    <t>BYREDO GYPSY WATER EAU DE PARFUM SPRAY 1.7 FL OZ</t>
  </si>
  <si>
    <t xml:space="preserve">GUCCI FLORA GORGEOUS ORCHID EAU DE PARFUM SPRAY 3.3 FL OZ </t>
  </si>
  <si>
    <t xml:space="preserve">XERJOFF ACCENTO EAU DE PARFUM SPRAAY 3.4 FL </t>
  </si>
  <si>
    <t>XERJOFF</t>
  </si>
  <si>
    <t xml:space="preserve">XERJOFF NAXOS EAU DE PARFUM  SPRAY 3.4 FL OZ </t>
  </si>
  <si>
    <t xml:space="preserve">XERJOFF ERBA PURA EAU DE PARFUM SPRAY 3.4 FL OZ </t>
  </si>
  <si>
    <t xml:space="preserve">MBF </t>
  </si>
  <si>
    <t>GUCCI (W) 4PCS MINI SET: 4 X 5ML GORGEOUS GARDENIA EAU DE PARFUM 0.16 FL OZ + GORGEOUS GARDENIA EAU DE PARFUM 0.16 FL OZ  + GORGEOUS JASMINE EAU DE PARFUM 0.16. FL OZ  + GORGEOUS MAGNOLIA EAU DE PARFUM 0.16 FL OZ</t>
  </si>
  <si>
    <t xml:space="preserve">BURBERRY (W) 4PCS MINI SET: 2 HER  EAU DE PARFUM .16 FL OZ  + 2 GODDESS  EAU DE PARFUM 0.16 FL OZ </t>
  </si>
  <si>
    <t xml:space="preserve">BURBERRY </t>
  </si>
  <si>
    <t xml:space="preserve">CHLOE (W) 4PC MINI SET:  NOMADE  EAU DE PARFUM 0.16 FL OZ + NOMADE  EAU DE TOILETTE  0.16 FL OZ  + CHLOE  EAU DE TOILETTE 0.16 FL OZ  + CHLOE  EAU DE PARFUM 0.16 FL OZ </t>
  </si>
  <si>
    <t>MARC JACOBS (W) 4PC MINI SET: DAISY  EAU DE TOILETTE 0.16 FL OZ + DAISY EAU SO FRESH  EAU DE TOILETTE 0.13 FL OZ + DAISY LOVE  EAU DE TOILETTE 0.13 FL OZ  + MJ PERFECT  EAU DE PARFUM 0.13 FL OZ  (INDIVIDUALLY BOXED)</t>
  </si>
  <si>
    <t>MARC JACOB</t>
  </si>
  <si>
    <t>VERSACE  (U) 5PC MINI SET: VERSACE P/F DYLAN TURQUOISE  EAU DE TOILETTE .17 FL OZ + BRIGHT CRYSTAL EAU DE TOILETTE 0.17 FL OZ  + EAU FRAICHE  EAU DE TOILETTE .17 FL OZ + VERSACE POUR HOMME 5ML EDT + EROS EAU DE TOILETTE 0.17 FL OZ</t>
  </si>
  <si>
    <t xml:space="preserve">LANCOME LA VIE EST BELLE (W) 2PC SET: 1 EEAU DE PARFUM   SPRAY 1.7 FL OZ  +  BODY LOTION 1.7 FL OZ  </t>
  </si>
  <si>
    <t>LANCOME</t>
  </si>
  <si>
    <t xml:space="preserve">YSL LIBRE 2PCS SET: (W) EAU DE PARFUM SPRAY 3.0 FL OZ + EAU DE PARFUM 0.33 FL OZ </t>
  </si>
  <si>
    <t xml:space="preserve">VERSACE DYLAN BLUE EAU DE TOILETTE SPRAY 3.4 FL OZ (Ref #721010) </t>
  </si>
  <si>
    <t xml:space="preserve">YSL BLACK OPIUM EAU DE PARFUM SPRAY 3.0 FL OZ </t>
  </si>
  <si>
    <t xml:space="preserve">3.0 OZ </t>
  </si>
  <si>
    <t xml:space="preserve">Jo Malone (W) Peony Blush &amp; Suede - Cologne Spray 3.4 FL OZ </t>
  </si>
  <si>
    <t>3.4 oz</t>
  </si>
  <si>
    <t>Jo Malone - Nectarine Blossom &amp; Honey - Cologne Spray 3.4 FL OZ</t>
  </si>
  <si>
    <t>JO MALONE ORANGE BLOSSOM Cologna Spray 3.4 FL OZ</t>
  </si>
  <si>
    <t>GUCCI BLOOM (W) 2 PC SET: 3.3 FL OZML EDP SPRAY + .33 FL OZ ML PEN</t>
  </si>
  <si>
    <t>RL POLO (M) 4PC MINI SET: POLO RED 15ML EDT + POLO BLUE 15ML EDT + POLO BLACK 15ML EDT + POLO GREEN 15ML EDT (INDIVIDUALLY BOXED)</t>
  </si>
  <si>
    <t>RALPH LAUREN</t>
  </si>
  <si>
    <t>GUCCI GUILTY POUR HOMME ELIXIR EAU DE PARFUM SPRAY 2.0 FL OZ</t>
  </si>
  <si>
    <t>2. OZ</t>
  </si>
  <si>
    <t xml:space="preserve">BILLIE EILISH YOUR TURN EAU DE PARFUM SPRAY 3.4 FL OZ </t>
  </si>
  <si>
    <t xml:space="preserve">BILLIE EILISH </t>
  </si>
  <si>
    <t xml:space="preserve">D&amp;G LIGHT BLUE EAU DE TOILETTE SPRAY 4.2 FL OZ </t>
  </si>
  <si>
    <t>D&amp; G</t>
  </si>
  <si>
    <t xml:space="preserve">4.2 OZ </t>
  </si>
  <si>
    <t xml:space="preserve">BURBERRY HERO EAU DE TOILETTE SPRAY 3.4 FL OZ </t>
  </si>
  <si>
    <t xml:space="preserve">CH VERY GOOD GIRL EAU DE PARFUM SPRAY  1.7 FL OZ </t>
  </si>
  <si>
    <t xml:space="preserve">CAROLINA HERRERA </t>
  </si>
  <si>
    <t xml:space="preserve">RL POLO GREEN EAU DE TOILETTE SPRAY 4.2 FL OZ  </t>
  </si>
  <si>
    <t xml:space="preserve">RL POLO BLACK EAU DE TOILETTE SPRAY 4.2 FL OZ </t>
  </si>
  <si>
    <t xml:space="preserve">RL POLO BLUE EAU DE TOILETTE SPRAY 4.2 FL OZ </t>
  </si>
  <si>
    <t>CREED AVENTUS COLOGNE EAU DE PARFUM SPRAY 1.7 FL OZ</t>
  </si>
  <si>
    <t xml:space="preserve">CREED AVENTUS ABSOLU  EAU DE PARFUM SPRAY 2.5 FL OZ </t>
  </si>
  <si>
    <t xml:space="preserve">CREED CENTAURUSEAU DE PARFUM SPRAY 3.3 FL OZ </t>
  </si>
  <si>
    <t>CREED DELPHINUS EAU DE PARFUM SPRAY 3.3 FL OZ</t>
  </si>
  <si>
    <t>CREED MILLESIME FLEURISSIMO (W) 75ML EDP SPRAY</t>
  </si>
  <si>
    <t>2.5 oZ</t>
  </si>
  <si>
    <t>CREED MILLÉSIME HIMALAYA  EAU DE PARFUM SPRAY 3.3 FL OZ</t>
  </si>
  <si>
    <t xml:space="preserve">CREED ORIGINAL VETIVER EAU DE PARFUM SPRAY 3.3 FL OZ  </t>
  </si>
  <si>
    <t xml:space="preserve">CREED VIKING EAU DE PARFUM SPRAY 3.3 FL OZ </t>
  </si>
  <si>
    <t xml:space="preserve">DIOR SAUVAGE EAU DE TOILETTE SPRAY 2.0 FL OZ  </t>
  </si>
  <si>
    <t xml:space="preserve">EMPORIO ARMANI STRONGER WITH YOU ABSOLUTELY EAU DE PARFUM SPRAY 3.4 FL OZ </t>
  </si>
  <si>
    <t xml:space="preserve">HERMES TERRE DHERMES EAU DE TOILETTE SPRAY 6.7 FL OZ </t>
  </si>
  <si>
    <t xml:space="preserve">HERMES </t>
  </si>
  <si>
    <t xml:space="preserve">6.7 OZ </t>
  </si>
  <si>
    <t xml:space="preserve">JPG LE BEAU EAU DE TOILETTE SPRAY 4.2 FL OZ </t>
  </si>
  <si>
    <t xml:space="preserve">JEAN PAUL </t>
  </si>
  <si>
    <t xml:space="preserve">JPG LE MALE EAU DE TOILETTE SPRAY 4.2 FL OZ  </t>
  </si>
  <si>
    <t xml:space="preserve">TOMMY HILFIGER GIRL EAU DE TOILETTE SPRAY 3.4 FL OZ </t>
  </si>
  <si>
    <t xml:space="preserve">TOMMY </t>
  </si>
  <si>
    <t xml:space="preserve">VALENTINO UOMO BORN IN ROMA  CORAL FANTSY EAU DE TOILETTE SPRAY 3.4 FL OZ </t>
  </si>
  <si>
    <t>CH GOOD GIRL BLUSH EAU DE PARFUM SPRAY 2.7 FL OZ</t>
  </si>
  <si>
    <t xml:space="preserve">2.7 OZ </t>
  </si>
  <si>
    <t xml:space="preserve">CH GOOD GIRL EAU DE PARFUM SPRAY 2.7 FL OZ </t>
  </si>
  <si>
    <t xml:space="preserve">JUICY COUTURE OUI JUICY COUTURE EAU DE PARFUM SPRAY (W) EDP 3.4 FL OZ </t>
  </si>
  <si>
    <t xml:space="preserve">JUICY COUTURE </t>
  </si>
  <si>
    <t xml:space="preserve">VIVA LA JUICY EAU DE PARFUM  SPRAY 3.4 FL OZ  </t>
  </si>
  <si>
    <t xml:space="preserve">RED DOOR  EAU DE TOILETTE SPRAY 3.4 FL OZ </t>
  </si>
  <si>
    <t>ELIZABETH ARDEN</t>
  </si>
  <si>
    <t xml:space="preserve">WHITE DIAMONDS EAU DE TOILETTE SPRAY 3.4 FL OZ </t>
  </si>
  <si>
    <t>ELIZABETH TAYLOR</t>
  </si>
  <si>
    <t xml:space="preserve">CH 212 NYC MEN EAU DE TOILETTE SPRAY 3.4 FL OZ </t>
  </si>
  <si>
    <t>CH BAD BOY COBALT ELIXIR EAU DE TOILETTE SPRAY 3.4 FL OZ</t>
  </si>
  <si>
    <t>ISSEY MIYAKE LEAU DISSEY MEN EAU DE TOILETTE SPRAY 4.2 FL OZ</t>
  </si>
  <si>
    <t>ISSEY MIYAKE</t>
  </si>
  <si>
    <t>THIERRY MUGLER ANGEL STAR  EAU DE PARFUM  SPRAY 3.4 FL OZ  (REFILLABLE)</t>
  </si>
  <si>
    <t>THIERRY MUGLER</t>
  </si>
  <si>
    <t xml:space="preserve">RALPH LAUREN POLO SPORT EAU DE TOILETTE SPRAY - (L) 4.2oz FL OZ </t>
  </si>
  <si>
    <t xml:space="preserve">BURBERRY HER EAU DE PARFUM SPRAY 1.0 FL OZ </t>
  </si>
  <si>
    <t xml:space="preserve">BURBERRY HER EAU DE PARFUM SPRAY 1.6 FL OZ </t>
  </si>
  <si>
    <t xml:space="preserve">BYREDO SUPER CEDAR EAU DE PARFUM SPRAY 3.4 FL OZ </t>
  </si>
  <si>
    <t xml:space="preserve">CAROLINA HERRERA BAD BOY EXTREME EAU DE PARFUM  SPRAY 1.7 FLOZ </t>
  </si>
  <si>
    <t>CAROLINA</t>
  </si>
  <si>
    <t xml:space="preserve">CREED AVENTUS EAU DE PARFUM  SPRAY 1.0 FL OZ </t>
  </si>
  <si>
    <t xml:space="preserve">CREED AVENTUS EAU DE PARFUM   SPRAY 1.7 FL OZ </t>
  </si>
  <si>
    <t xml:space="preserve">CREED ORIGINAL SANTAL EAU DE PARFUM  SPRAY 3.4 FL OZ </t>
  </si>
  <si>
    <t xml:space="preserve">DIOR JADORE EAU DE PARFUM SPRAY 1.7 FL OZ </t>
  </si>
  <si>
    <t>DIOR</t>
  </si>
  <si>
    <t>DIOR SAUVAGE EAU DE TOILETTE SPRAY 3.4 FL OZ  (REFILLIABLE)</t>
  </si>
  <si>
    <t xml:space="preserve">ESTEE LAUDER PLEASURES EAU DE PARFUM  SPRAY 3.4 FL OZ </t>
  </si>
  <si>
    <t>ESTEE</t>
  </si>
  <si>
    <t xml:space="preserve">LANCOME LA VIE EST BELLE EAU DE PARFUM SPRAY 2.5 FL OZ </t>
  </si>
  <si>
    <t xml:space="preserve">2.5 OZ </t>
  </si>
  <si>
    <t xml:space="preserve">PARFUMS DE MARLY DELINA EXCLUSIF PARFUM  SPRAY 2.5 FL OZ </t>
  </si>
  <si>
    <t>PARFUMS</t>
  </si>
  <si>
    <t xml:space="preserve">PARFUMS DE MARLY DELINA EAU DE PARFUM SPRAY 2.5 FL OZ </t>
  </si>
  <si>
    <t xml:space="preserve">VALENTINO UOMO BORN IN ROMA EXTRADOSE EAU DE PARFUM  SPRAY 3.4 FL OZ </t>
  </si>
  <si>
    <t xml:space="preserve">VALENTINO UOMO BORN IN ROMA INTENSE M EAU DE PARFUM 3.4 FL OZ </t>
  </si>
  <si>
    <t xml:space="preserve">XERJOFF ERBA PURA EAU DE PARFUM SPRAY 1.7 FL OZ </t>
  </si>
  <si>
    <t xml:space="preserve">YSL MYSELF MEN'S EAU DE PARFUM  REFILLABLE SPRAY 3.4 FL OZ </t>
  </si>
  <si>
    <t>YSL</t>
  </si>
  <si>
    <t xml:space="preserve">YSL Y  EAU DE PARFUM SPRAY 3.3 FL OZ </t>
  </si>
  <si>
    <t>VERSACE  DYLAN PURPLE  EAU DE PARFUM SPRAY 1.7 FL OZ</t>
  </si>
  <si>
    <t xml:space="preserve">DOLCE &amp; GABBANA K EAU DE PARFUM SPRAY 1.6 FL OZ   </t>
  </si>
  <si>
    <t>BLACK OPIUM EAU DE PARFUM SPRAY 1.6 FL OZ</t>
  </si>
  <si>
    <t>2025 Fragrance Tracker</t>
  </si>
  <si>
    <t xml:space="preserve">KILIAN APPLE BRANDY ON THE ROCKS EAU DE PARFUM SPRAY 1.7 FL OZ </t>
  </si>
  <si>
    <t>AZZARO THE MOST WANTED EAU DE PARFUM SPRAY 3.4 FL OZ INTENSE</t>
  </si>
  <si>
    <t xml:space="preserve">CAROLINA HERRRERA  GOOD GIRL EAU DE PARFUM SPRAY 1.7 FL OZ </t>
  </si>
  <si>
    <t>not avail at all also tarrif is 39%</t>
  </si>
  <si>
    <t> 990471822</t>
  </si>
  <si>
    <t> 990475729</t>
  </si>
  <si>
    <t>no more aviable</t>
  </si>
  <si>
    <t>no more avI</t>
  </si>
  <si>
    <t xml:space="preserve">watting for price adjustment  confirmation for these Below  items </t>
  </si>
  <si>
    <t xml:space="preserve">JIMMY CHOO I WANT CHOO EAU DE PARFUM SPRAY 2.0 FL OZ </t>
  </si>
  <si>
    <t>JIMMY CHOO</t>
  </si>
  <si>
    <t xml:space="preserve">CLINIQUE </t>
  </si>
  <si>
    <t xml:space="preserve">CLINIQUE HAPPY EAU DE PARFUM 3.4. FL OZ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</si>
</sst>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D1C1D"/>
      <name val="Arial"/>
      <family val="2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4">
    <xf numFmtId="0" fontId="0" fillId="0" borderId="0" xfId="0"/>
    <xf numFmtId="0" fontId="0" fillId="6" borderId="0" xfId="0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top"/>
    </xf>
    <xf numFmtId="16" fontId="0" fillId="7" borderId="0" xfId="0" applyNumberFormat="1" applyFill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top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7" borderId="0" xfId="0" applyNumberFormat="1" applyFill="1" applyAlignment="1">
      <alignment horizontal="center"/>
    </xf>
    <xf numFmtId="0" fontId="0" fillId="0" borderId="0" xfId="0" applyAlignment="1">
      <alignment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8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1" fontId="5" fillId="4" borderId="1" xfId="0" applyNumberFormat="1" applyFont="1" applyFill="1" applyBorder="1" applyAlignment="1">
      <alignment horizontal="center"/>
    </xf>
    <xf numFmtId="8" fontId="6" fillId="5" borderId="1" xfId="0" applyNumberFormat="1" applyFont="1" applyFill="1" applyBorder="1" applyAlignment="1">
      <alignment horizontal="center" vertical="center" wrapText="1"/>
    </xf>
    <xf numFmtId="8" fontId="6" fillId="0" borderId="1" xfId="0" applyNumberFormat="1" applyFont="1" applyBorder="1" applyAlignment="1">
      <alignment horizontal="center" vertical="center" wrapText="1"/>
    </xf>
    <xf numFmtId="164" fontId="0" fillId="4" borderId="1" xfId="1" applyNumberFormat="1" applyFon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5" fillId="4" borderId="1" xfId="0" applyFont="1" applyFill="1" applyBorder="1" applyAlignment="1">
      <alignment vertical="top" wrapText="1"/>
    </xf>
    <xf numFmtId="3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5" fillId="4" borderId="1" xfId="0" applyFont="1" applyFill="1" applyBorder="1" applyAlignment="1">
      <alignment horizontal="left" vertical="top" wrapText="1"/>
    </xf>
    <xf numFmtId="1" fontId="6" fillId="5" borderId="1" xfId="0" applyNumberFormat="1" applyFont="1" applyFill="1" applyBorder="1" applyAlignment="1">
      <alignment horizontal="center" vertical="center" wrapText="1"/>
    </xf>
    <xf numFmtId="8" fontId="6" fillId="4" borderId="1" xfId="0" applyNumberFormat="1" applyFont="1" applyFill="1" applyBorder="1" applyAlignment="1">
      <alignment horizontal="center" vertical="center" wrapText="1"/>
    </xf>
    <xf numFmtId="164" fontId="6" fillId="4" borderId="1" xfId="1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1" xfId="1" applyNumberFormat="1" applyFont="1" applyFill="1" applyBorder="1" applyAlignment="1">
      <alignment horizontal="center"/>
    </xf>
    <xf numFmtId="0" fontId="0" fillId="5" borderId="1" xfId="1" applyNumberFormat="1" applyFont="1" applyFill="1" applyBorder="1" applyAlignment="1">
      <alignment horizontal="center"/>
    </xf>
    <xf numFmtId="0" fontId="5" fillId="4" borderId="1" xfId="2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" fontId="0" fillId="0" borderId="1" xfId="0" applyNumberFormat="1" applyBorder="1" applyAlignment="1">
      <alignment horizontal="center" vertical="center"/>
    </xf>
    <xf numFmtId="0" fontId="0" fillId="5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5" fillId="4" borderId="1" xfId="2" applyFont="1" applyFill="1" applyBorder="1" applyAlignment="1">
      <alignment horizontal="left" vertical="center" wrapText="1"/>
    </xf>
    <xf numFmtId="164" fontId="0" fillId="0" borderId="1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164" fontId="0" fillId="9" borderId="1" xfId="1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164" fontId="0" fillId="11" borderId="1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vertical="top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vertical="top"/>
    </xf>
    <xf numFmtId="0" fontId="4" fillId="4" borderId="0" xfId="0" applyFont="1" applyFill="1" applyAlignment="1">
      <alignment horizontal="center"/>
    </xf>
    <xf numFmtId="164" fontId="0" fillId="9" borderId="1" xfId="1" applyNumberFormat="1" applyFont="1" applyFill="1" applyBorder="1" applyAlignment="1">
      <alignment horizontal="center" vertical="center"/>
    </xf>
  </cellXfs>
  <cellStyles count="3">
    <cellStyle name="Accent1" xfId="2" builtinId="29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56"/>
  <sheetViews>
    <sheetView tabSelected="1" zoomScale="90" zoomScaleNormal="90" workbookViewId="0">
      <pane ySplit="3" topLeftCell="A125" activePane="bottomLeft" state="frozen"/>
      <selection pane="bottomLeft" activeCell="AD154" sqref="AD154"/>
    </sheetView>
  </sheetViews>
  <sheetFormatPr defaultRowHeight="20.100000000000001" customHeight="1" x14ac:dyDescent="0.25"/>
  <cols>
    <col min="1" max="1" width="16.42578125" style="3" customWidth="1"/>
    <col min="2" max="2" width="84.85546875" style="6" customWidth="1"/>
    <col min="3" max="3" width="18.5703125" style="3" customWidth="1"/>
    <col min="4" max="4" width="7.5703125" style="5" customWidth="1"/>
    <col min="5" max="5" width="7.85546875" style="5" customWidth="1"/>
    <col min="6" max="6" width="12.140625" style="3" customWidth="1"/>
    <col min="7" max="7" width="17" style="3" customWidth="1"/>
    <col min="8" max="8" width="11.5703125" hidden="1" customWidth="1"/>
    <col min="9" max="12" width="9.140625" style="3" hidden="1" customWidth="1"/>
    <col min="13" max="15" width="13.7109375" style="3" hidden="1" customWidth="1"/>
    <col min="16" max="16" width="8.85546875" style="3" hidden="1" customWidth="1"/>
    <col min="17" max="18" width="9.140625" style="3" hidden="1" customWidth="1"/>
    <col min="19" max="21" width="7.28515625" style="3" hidden="1" customWidth="1"/>
    <col min="22" max="22" width="0.28515625" style="3" customWidth="1"/>
    <col min="23" max="23" width="4.28515625" style="3" hidden="1" customWidth="1"/>
    <col min="24" max="26" width="7.140625" style="3" hidden="1" customWidth="1"/>
    <col min="27" max="27" width="5.7109375" style="3" bestFit="1" customWidth="1"/>
    <col min="28" max="30" width="6.85546875" style="3" bestFit="1" customWidth="1"/>
    <col min="31" max="31" width="12.140625" style="3" customWidth="1"/>
    <col min="32" max="32" width="6" style="3" bestFit="1" customWidth="1"/>
    <col min="33" max="34" width="7" style="3" bestFit="1" customWidth="1"/>
    <col min="35" max="35" width="15.7109375" style="3" customWidth="1"/>
    <col min="36" max="36" width="6.42578125" bestFit="1" customWidth="1"/>
    <col min="37" max="39" width="7.5703125" bestFit="1" customWidth="1"/>
    <col min="40" max="40" width="5.85546875" bestFit="1" customWidth="1"/>
    <col min="41" max="43" width="7" bestFit="1" customWidth="1"/>
    <col min="44" max="44" width="6.7109375" bestFit="1" customWidth="1"/>
    <col min="45" max="47" width="7.7109375" bestFit="1" customWidth="1"/>
    <col min="48" max="49" width="5.7109375" bestFit="1" customWidth="1"/>
    <col min="50" max="52" width="6.85546875" bestFit="1" customWidth="1"/>
    <col min="53" max="53" width="5.28515625" bestFit="1" customWidth="1"/>
  </cols>
  <sheetData>
    <row r="1" spans="1:63" s="1" customFormat="1" ht="20.100000000000001" customHeight="1" x14ac:dyDescent="0.25">
      <c r="A1" s="2"/>
      <c r="B1" s="10" t="s">
        <v>232</v>
      </c>
      <c r="C1" s="2"/>
      <c r="D1" s="4"/>
      <c r="E1" s="4"/>
      <c r="F1" s="2"/>
      <c r="G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63" ht="20.100000000000001" customHeight="1" x14ac:dyDescent="0.25">
      <c r="H2" s="7">
        <v>45894</v>
      </c>
      <c r="I2" s="14">
        <v>45901</v>
      </c>
      <c r="J2" s="14">
        <v>45908</v>
      </c>
      <c r="K2" s="14">
        <v>45915</v>
      </c>
      <c r="L2" s="14">
        <v>45922</v>
      </c>
      <c r="M2" s="14">
        <v>45929</v>
      </c>
      <c r="N2" s="14">
        <v>45936</v>
      </c>
      <c r="O2" s="14">
        <v>45943</v>
      </c>
      <c r="P2" s="14">
        <v>45950</v>
      </c>
      <c r="Q2" s="14">
        <v>45957</v>
      </c>
      <c r="R2" s="14">
        <v>45964</v>
      </c>
      <c r="S2" s="14">
        <v>45971</v>
      </c>
      <c r="T2" s="14">
        <v>45978</v>
      </c>
      <c r="U2" s="14">
        <v>45985</v>
      </c>
      <c r="V2" s="14">
        <v>45992</v>
      </c>
      <c r="W2" s="14">
        <v>45999</v>
      </c>
      <c r="X2" s="14">
        <v>46006</v>
      </c>
      <c r="Y2" s="14">
        <v>46013</v>
      </c>
      <c r="Z2" s="14">
        <v>46020</v>
      </c>
      <c r="AA2" s="14">
        <v>45662</v>
      </c>
      <c r="AB2" s="14">
        <v>45669</v>
      </c>
      <c r="AC2" s="14">
        <v>46041</v>
      </c>
      <c r="AD2" s="14">
        <v>45683</v>
      </c>
      <c r="AE2" s="14">
        <f t="shared" ref="AE2:AQ2" si="0">+AD2+7</f>
        <v>45690</v>
      </c>
      <c r="AF2" s="14">
        <f t="shared" si="0"/>
        <v>45697</v>
      </c>
      <c r="AG2" s="14">
        <f t="shared" si="0"/>
        <v>45704</v>
      </c>
      <c r="AH2" s="14">
        <f t="shared" si="0"/>
        <v>45711</v>
      </c>
      <c r="AI2" s="14">
        <f t="shared" si="0"/>
        <v>45718</v>
      </c>
      <c r="AJ2" s="14">
        <f t="shared" si="0"/>
        <v>45725</v>
      </c>
      <c r="AK2" s="14">
        <f t="shared" si="0"/>
        <v>45732</v>
      </c>
      <c r="AL2" s="14">
        <f t="shared" si="0"/>
        <v>45739</v>
      </c>
      <c r="AM2" s="14">
        <f t="shared" si="0"/>
        <v>45746</v>
      </c>
      <c r="AN2" s="14">
        <f t="shared" si="0"/>
        <v>45753</v>
      </c>
      <c r="AO2" s="14">
        <f t="shared" si="0"/>
        <v>45760</v>
      </c>
      <c r="AP2" s="14">
        <f t="shared" si="0"/>
        <v>45767</v>
      </c>
      <c r="AQ2" s="14">
        <f t="shared" si="0"/>
        <v>45774</v>
      </c>
      <c r="AR2" s="14">
        <f t="shared" ref="AR2:BK2" si="1">+AQ2+7</f>
        <v>45781</v>
      </c>
      <c r="AS2" s="14">
        <f t="shared" si="1"/>
        <v>45788</v>
      </c>
      <c r="AT2" s="14">
        <f t="shared" si="1"/>
        <v>45795</v>
      </c>
      <c r="AU2" s="14">
        <f t="shared" si="1"/>
        <v>45802</v>
      </c>
      <c r="AV2" s="14">
        <f t="shared" si="1"/>
        <v>45809</v>
      </c>
      <c r="AW2" s="14">
        <f t="shared" si="1"/>
        <v>45816</v>
      </c>
      <c r="AX2" s="14">
        <f t="shared" si="1"/>
        <v>45823</v>
      </c>
      <c r="AY2" s="14">
        <f t="shared" si="1"/>
        <v>45830</v>
      </c>
      <c r="AZ2" s="14">
        <f t="shared" si="1"/>
        <v>45837</v>
      </c>
      <c r="BA2" s="14">
        <f t="shared" si="1"/>
        <v>45844</v>
      </c>
      <c r="BB2" s="14">
        <f t="shared" si="1"/>
        <v>45851</v>
      </c>
      <c r="BC2" s="14">
        <f t="shared" si="1"/>
        <v>45858</v>
      </c>
      <c r="BD2" s="14">
        <f t="shared" si="1"/>
        <v>45865</v>
      </c>
      <c r="BE2" s="14">
        <f t="shared" si="1"/>
        <v>45872</v>
      </c>
      <c r="BF2" s="14">
        <f t="shared" si="1"/>
        <v>45879</v>
      </c>
      <c r="BG2" s="14">
        <f t="shared" si="1"/>
        <v>45886</v>
      </c>
      <c r="BH2" s="14">
        <f t="shared" si="1"/>
        <v>45893</v>
      </c>
      <c r="BI2" s="14">
        <f t="shared" si="1"/>
        <v>45900</v>
      </c>
      <c r="BJ2" s="14">
        <f t="shared" si="1"/>
        <v>45907</v>
      </c>
      <c r="BK2" s="14">
        <f t="shared" si="1"/>
        <v>45914</v>
      </c>
    </row>
    <row r="3" spans="1:63" s="13" customFormat="1" ht="28.5" customHeight="1" x14ac:dyDescent="0.25">
      <c r="A3" s="11" t="s">
        <v>0</v>
      </c>
      <c r="B3" s="8" t="s">
        <v>1</v>
      </c>
      <c r="C3" s="11" t="s">
        <v>2</v>
      </c>
      <c r="D3" s="8" t="s">
        <v>3</v>
      </c>
      <c r="E3" s="8" t="s">
        <v>4</v>
      </c>
      <c r="F3" s="8" t="s">
        <v>5</v>
      </c>
      <c r="G3" s="9" t="s">
        <v>6</v>
      </c>
      <c r="H3" s="12">
        <v>31</v>
      </c>
      <c r="I3" s="12">
        <v>32</v>
      </c>
      <c r="J3" s="12">
        <v>33</v>
      </c>
      <c r="K3" s="12">
        <v>34</v>
      </c>
      <c r="L3" s="12">
        <v>35</v>
      </c>
      <c r="M3" s="12">
        <v>36</v>
      </c>
      <c r="N3" s="12">
        <v>37</v>
      </c>
      <c r="O3" s="12">
        <v>38</v>
      </c>
      <c r="P3" s="12">
        <v>39</v>
      </c>
      <c r="Q3" s="12">
        <v>40</v>
      </c>
      <c r="R3" s="12">
        <v>41</v>
      </c>
      <c r="S3" s="12">
        <v>42</v>
      </c>
      <c r="T3" s="12">
        <v>43</v>
      </c>
      <c r="U3" s="12">
        <v>44</v>
      </c>
      <c r="V3" s="12">
        <v>45</v>
      </c>
      <c r="W3" s="12">
        <v>46</v>
      </c>
      <c r="X3" s="12">
        <v>47</v>
      </c>
      <c r="Y3" s="12">
        <v>48</v>
      </c>
      <c r="Z3" s="19">
        <v>1</v>
      </c>
      <c r="AA3" s="19">
        <v>2</v>
      </c>
      <c r="AB3" s="19">
        <f>+AA3+1</f>
        <v>3</v>
      </c>
      <c r="AC3" s="19">
        <f>+AB3+1</f>
        <v>4</v>
      </c>
      <c r="AD3" s="19">
        <f>+AC3+1</f>
        <v>5</v>
      </c>
      <c r="AE3" s="19">
        <f t="shared" ref="AE3:BK3" si="2">+AD3+1</f>
        <v>6</v>
      </c>
      <c r="AF3" s="19">
        <f t="shared" si="2"/>
        <v>7</v>
      </c>
      <c r="AG3" s="19">
        <f t="shared" si="2"/>
        <v>8</v>
      </c>
      <c r="AH3" s="19">
        <f t="shared" si="2"/>
        <v>9</v>
      </c>
      <c r="AI3" s="19">
        <f t="shared" si="2"/>
        <v>10</v>
      </c>
      <c r="AJ3" s="19">
        <f t="shared" si="2"/>
        <v>11</v>
      </c>
      <c r="AK3" s="19">
        <f t="shared" si="2"/>
        <v>12</v>
      </c>
      <c r="AL3" s="19">
        <f t="shared" si="2"/>
        <v>13</v>
      </c>
      <c r="AM3" s="19">
        <f t="shared" si="2"/>
        <v>14</v>
      </c>
      <c r="AN3" s="19">
        <f t="shared" si="2"/>
        <v>15</v>
      </c>
      <c r="AO3" s="19">
        <f t="shared" si="2"/>
        <v>16</v>
      </c>
      <c r="AP3" s="19">
        <f t="shared" si="2"/>
        <v>17</v>
      </c>
      <c r="AQ3" s="19">
        <f t="shared" si="2"/>
        <v>18</v>
      </c>
      <c r="AR3" s="19">
        <f t="shared" si="2"/>
        <v>19</v>
      </c>
      <c r="AS3" s="19">
        <f t="shared" si="2"/>
        <v>20</v>
      </c>
      <c r="AT3" s="19">
        <f t="shared" si="2"/>
        <v>21</v>
      </c>
      <c r="AU3" s="19">
        <f t="shared" si="2"/>
        <v>22</v>
      </c>
      <c r="AV3" s="19">
        <f t="shared" si="2"/>
        <v>23</v>
      </c>
      <c r="AW3" s="19">
        <f t="shared" si="2"/>
        <v>24</v>
      </c>
      <c r="AX3" s="19">
        <f t="shared" si="2"/>
        <v>25</v>
      </c>
      <c r="AY3" s="19">
        <f t="shared" si="2"/>
        <v>26</v>
      </c>
      <c r="AZ3" s="19">
        <f t="shared" si="2"/>
        <v>27</v>
      </c>
      <c r="BA3" s="19">
        <f t="shared" si="2"/>
        <v>28</v>
      </c>
      <c r="BB3" s="19">
        <f t="shared" si="2"/>
        <v>29</v>
      </c>
      <c r="BC3" s="19">
        <f t="shared" si="2"/>
        <v>30</v>
      </c>
      <c r="BD3" s="19">
        <f t="shared" si="2"/>
        <v>31</v>
      </c>
      <c r="BE3" s="19">
        <f t="shared" si="2"/>
        <v>32</v>
      </c>
      <c r="BF3" s="19">
        <f t="shared" si="2"/>
        <v>33</v>
      </c>
      <c r="BG3" s="19">
        <f t="shared" si="2"/>
        <v>34</v>
      </c>
      <c r="BH3" s="19">
        <f t="shared" si="2"/>
        <v>35</v>
      </c>
      <c r="BI3" s="19">
        <f t="shared" si="2"/>
        <v>36</v>
      </c>
      <c r="BJ3" s="19">
        <f t="shared" si="2"/>
        <v>37</v>
      </c>
      <c r="BK3" s="19">
        <f t="shared" si="2"/>
        <v>38</v>
      </c>
    </row>
    <row r="4" spans="1:63" ht="18" customHeight="1" x14ac:dyDescent="0.25">
      <c r="A4" s="23">
        <v>990361697</v>
      </c>
      <c r="B4" s="26" t="s">
        <v>16</v>
      </c>
      <c r="C4" s="21" t="s">
        <v>17</v>
      </c>
      <c r="D4" s="21" t="s">
        <v>18</v>
      </c>
      <c r="E4" s="22" t="s">
        <v>10</v>
      </c>
      <c r="F4" s="31">
        <v>39.5</v>
      </c>
      <c r="G4" s="35">
        <v>13413</v>
      </c>
      <c r="AF4" s="3">
        <v>5000</v>
      </c>
      <c r="AG4" s="3">
        <v>5000</v>
      </c>
      <c r="AJ4">
        <v>8413</v>
      </c>
      <c r="AN4" s="61"/>
    </row>
    <row r="5" spans="1:63" ht="18" customHeight="1" x14ac:dyDescent="0.25">
      <c r="A5" s="23">
        <v>990352342</v>
      </c>
      <c r="B5" s="26" t="s">
        <v>30</v>
      </c>
      <c r="C5" s="21" t="s">
        <v>17</v>
      </c>
      <c r="D5" s="21" t="s">
        <v>18</v>
      </c>
      <c r="E5" s="22" t="s">
        <v>10</v>
      </c>
      <c r="F5" s="31">
        <v>28</v>
      </c>
      <c r="G5" s="36">
        <v>9808</v>
      </c>
      <c r="AF5" s="3">
        <v>3000</v>
      </c>
      <c r="AG5" s="3">
        <v>3000</v>
      </c>
      <c r="AJ5">
        <v>6808</v>
      </c>
      <c r="AN5" s="61"/>
    </row>
    <row r="6" spans="1:63" ht="18" customHeight="1" x14ac:dyDescent="0.25">
      <c r="A6" s="21">
        <v>990409970</v>
      </c>
      <c r="B6" s="26" t="s">
        <v>100</v>
      </c>
      <c r="C6" s="24" t="s">
        <v>101</v>
      </c>
      <c r="D6" s="21" t="s">
        <v>18</v>
      </c>
      <c r="E6" s="22" t="s">
        <v>10</v>
      </c>
      <c r="F6" s="31">
        <v>39.5</v>
      </c>
      <c r="G6" s="36">
        <v>6738</v>
      </c>
      <c r="AF6" s="3">
        <v>1500</v>
      </c>
      <c r="AG6" s="3">
        <v>1500</v>
      </c>
      <c r="AJ6">
        <v>5238</v>
      </c>
      <c r="AN6" s="61"/>
    </row>
    <row r="7" spans="1:63" ht="18" customHeight="1" x14ac:dyDescent="0.25">
      <c r="A7" s="21">
        <v>990434425</v>
      </c>
      <c r="B7" s="26" t="s">
        <v>122</v>
      </c>
      <c r="C7" s="36" t="s">
        <v>123</v>
      </c>
      <c r="D7" s="22" t="s">
        <v>57</v>
      </c>
      <c r="E7" s="22" t="s">
        <v>10</v>
      </c>
      <c r="F7" s="31">
        <v>65</v>
      </c>
      <c r="G7" s="36"/>
      <c r="AN7" s="61"/>
    </row>
    <row r="8" spans="1:63" ht="18" customHeight="1" x14ac:dyDescent="0.25">
      <c r="A8" s="21">
        <v>990469766</v>
      </c>
      <c r="B8" s="39" t="s">
        <v>234</v>
      </c>
      <c r="C8" s="29" t="s">
        <v>117</v>
      </c>
      <c r="D8" s="40" t="s">
        <v>18</v>
      </c>
      <c r="E8" s="41" t="s">
        <v>134</v>
      </c>
      <c r="F8" s="42">
        <v>54</v>
      </c>
      <c r="G8" s="43">
        <v>3220</v>
      </c>
      <c r="AF8" s="3">
        <v>220</v>
      </c>
      <c r="AG8" s="3">
        <v>3000</v>
      </c>
      <c r="AN8" s="61"/>
    </row>
    <row r="9" spans="1:63" ht="18" customHeight="1" x14ac:dyDescent="0.25">
      <c r="A9" s="21">
        <v>990419698</v>
      </c>
      <c r="B9" s="26" t="s">
        <v>116</v>
      </c>
      <c r="C9" s="36" t="s">
        <v>117</v>
      </c>
      <c r="D9" s="22" t="s">
        <v>9</v>
      </c>
      <c r="E9" s="22" t="s">
        <v>10</v>
      </c>
      <c r="F9" s="31">
        <v>58.75</v>
      </c>
      <c r="G9" s="36">
        <v>1956</v>
      </c>
      <c r="AF9" s="3">
        <v>500</v>
      </c>
      <c r="AG9" s="3">
        <v>500</v>
      </c>
      <c r="AJ9">
        <v>956</v>
      </c>
      <c r="AN9" s="61"/>
    </row>
    <row r="10" spans="1:63" ht="18" customHeight="1" x14ac:dyDescent="0.25">
      <c r="A10" s="21">
        <v>990445109</v>
      </c>
      <c r="B10" s="26" t="s">
        <v>157</v>
      </c>
      <c r="C10" s="36" t="s">
        <v>158</v>
      </c>
      <c r="D10" s="22" t="s">
        <v>91</v>
      </c>
      <c r="E10" s="22" t="s">
        <v>134</v>
      </c>
      <c r="F10" s="31">
        <v>52</v>
      </c>
      <c r="G10" s="36"/>
      <c r="AN10" s="61"/>
    </row>
    <row r="11" spans="1:63" ht="18" customHeight="1" x14ac:dyDescent="0.25">
      <c r="A11" s="21">
        <v>990385645</v>
      </c>
      <c r="B11" s="26" t="s">
        <v>231</v>
      </c>
      <c r="C11" s="21" t="s">
        <v>22</v>
      </c>
      <c r="D11" s="21" t="s">
        <v>41</v>
      </c>
      <c r="E11" s="22" t="s">
        <v>10</v>
      </c>
      <c r="F11" s="62">
        <v>74</v>
      </c>
      <c r="G11" s="36">
        <v>3518</v>
      </c>
      <c r="AF11" s="3">
        <v>1020</v>
      </c>
      <c r="AH11" s="3">
        <v>1020</v>
      </c>
      <c r="AJ11">
        <v>1530</v>
      </c>
      <c r="AN11" s="61"/>
    </row>
    <row r="12" spans="1:63" ht="18" customHeight="1" x14ac:dyDescent="0.25">
      <c r="A12" s="23">
        <v>980423801</v>
      </c>
      <c r="B12" s="26" t="s">
        <v>28</v>
      </c>
      <c r="C12" s="21" t="s">
        <v>29</v>
      </c>
      <c r="D12" s="21" t="s">
        <v>27</v>
      </c>
      <c r="E12" s="22" t="s">
        <v>10</v>
      </c>
      <c r="F12" s="31">
        <v>74</v>
      </c>
      <c r="G12" s="36">
        <v>4093</v>
      </c>
      <c r="AJ12">
        <v>4093</v>
      </c>
      <c r="AN12" s="61"/>
    </row>
    <row r="13" spans="1:63" s="18" customFormat="1" ht="30" x14ac:dyDescent="0.25">
      <c r="A13" s="48">
        <v>990441505</v>
      </c>
      <c r="B13" s="49" t="s">
        <v>136</v>
      </c>
      <c r="C13" s="50" t="s">
        <v>137</v>
      </c>
      <c r="D13" s="51" t="s">
        <v>67</v>
      </c>
      <c r="E13" s="51" t="s">
        <v>10</v>
      </c>
      <c r="F13" s="52">
        <v>36</v>
      </c>
      <c r="G13" s="50">
        <v>200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8">
        <v>200</v>
      </c>
      <c r="AM13"/>
      <c r="AN13" s="61"/>
    </row>
    <row r="14" spans="1:63" ht="18" customHeight="1" x14ac:dyDescent="0.25">
      <c r="A14" s="24">
        <v>980436625</v>
      </c>
      <c r="B14" s="26" t="s">
        <v>7</v>
      </c>
      <c r="C14" s="21" t="s">
        <v>8</v>
      </c>
      <c r="D14" s="21" t="s">
        <v>9</v>
      </c>
      <c r="E14" s="22" t="s">
        <v>10</v>
      </c>
      <c r="F14" s="31">
        <v>27.64</v>
      </c>
      <c r="G14" s="35">
        <v>28307</v>
      </c>
      <c r="AG14" s="3">
        <v>3000</v>
      </c>
      <c r="AJ14">
        <v>25307</v>
      </c>
      <c r="AN14" s="61"/>
    </row>
    <row r="15" spans="1:63" ht="18" customHeight="1" x14ac:dyDescent="0.25">
      <c r="A15" s="21">
        <v>990291168</v>
      </c>
      <c r="B15" s="27" t="s">
        <v>42</v>
      </c>
      <c r="C15" s="21" t="s">
        <v>8</v>
      </c>
      <c r="D15" s="21" t="s">
        <v>9</v>
      </c>
      <c r="E15" s="22" t="s">
        <v>10</v>
      </c>
      <c r="F15" s="62">
        <v>79</v>
      </c>
      <c r="G15" s="37">
        <v>13729</v>
      </c>
      <c r="AG15" s="3">
        <v>4848</v>
      </c>
      <c r="AH15" s="3">
        <v>2000</v>
      </c>
      <c r="AL15">
        <v>6896</v>
      </c>
      <c r="AN15" s="61"/>
    </row>
    <row r="16" spans="1:63" ht="18" customHeight="1" x14ac:dyDescent="0.25">
      <c r="A16" s="21">
        <v>990470231</v>
      </c>
      <c r="B16" s="44" t="s">
        <v>205</v>
      </c>
      <c r="C16" s="30" t="s">
        <v>8</v>
      </c>
      <c r="D16" s="20" t="s">
        <v>34</v>
      </c>
      <c r="E16" s="45" t="s">
        <v>10</v>
      </c>
      <c r="F16" s="32">
        <v>43</v>
      </c>
      <c r="G16" s="22"/>
      <c r="AN16" s="61"/>
    </row>
    <row r="17" spans="1:40" ht="18" customHeight="1" x14ac:dyDescent="0.25">
      <c r="A17" s="21">
        <v>990469973</v>
      </c>
      <c r="B17" s="26" t="s">
        <v>206</v>
      </c>
      <c r="C17" s="30" t="s">
        <v>8</v>
      </c>
      <c r="D17" s="20" t="s">
        <v>45</v>
      </c>
      <c r="E17" s="45" t="s">
        <v>10</v>
      </c>
      <c r="F17" s="32">
        <v>56</v>
      </c>
      <c r="G17" s="36"/>
      <c r="AN17" s="61"/>
    </row>
    <row r="18" spans="1:40" ht="18" customHeight="1" x14ac:dyDescent="0.25">
      <c r="A18" s="21">
        <v>990449015</v>
      </c>
      <c r="B18" s="26" t="s">
        <v>162</v>
      </c>
      <c r="C18" s="36" t="s">
        <v>137</v>
      </c>
      <c r="D18" s="22" t="s">
        <v>18</v>
      </c>
      <c r="E18" s="22" t="s">
        <v>134</v>
      </c>
      <c r="F18" s="31">
        <v>50</v>
      </c>
      <c r="G18" s="36"/>
      <c r="AN18" s="61"/>
    </row>
    <row r="19" spans="1:40" ht="18" customHeight="1" x14ac:dyDescent="0.25">
      <c r="A19" s="21">
        <v>990399325</v>
      </c>
      <c r="B19" s="26" t="s">
        <v>86</v>
      </c>
      <c r="C19" s="24" t="s">
        <v>8</v>
      </c>
      <c r="D19" s="21" t="s">
        <v>87</v>
      </c>
      <c r="E19" s="22" t="s">
        <v>10</v>
      </c>
      <c r="F19" s="31">
        <v>72</v>
      </c>
      <c r="G19" s="36">
        <v>200</v>
      </c>
      <c r="AF19" s="3">
        <v>100</v>
      </c>
      <c r="AG19" s="3">
        <v>100</v>
      </c>
      <c r="AN19" s="61"/>
    </row>
    <row r="20" spans="1:40" ht="18" customHeight="1" x14ac:dyDescent="0.25">
      <c r="A20" s="21">
        <v>990409512</v>
      </c>
      <c r="B20" s="26" t="s">
        <v>84</v>
      </c>
      <c r="C20" s="24" t="s">
        <v>83</v>
      </c>
      <c r="D20" s="21" t="s">
        <v>18</v>
      </c>
      <c r="E20" s="22" t="s">
        <v>10</v>
      </c>
      <c r="F20" s="31">
        <v>165</v>
      </c>
      <c r="G20" s="36"/>
      <c r="AN20" s="61"/>
    </row>
    <row r="21" spans="1:40" ht="18" customHeight="1" x14ac:dyDescent="0.25">
      <c r="A21" s="21">
        <v>990411099</v>
      </c>
      <c r="B21" s="26" t="s">
        <v>95</v>
      </c>
      <c r="C21" s="24" t="s">
        <v>83</v>
      </c>
      <c r="D21" s="21" t="s">
        <v>96</v>
      </c>
      <c r="E21" s="22" t="s">
        <v>10</v>
      </c>
      <c r="F21" s="62">
        <v>126</v>
      </c>
      <c r="G21" s="36">
        <v>1521</v>
      </c>
      <c r="AF21" s="3">
        <v>495</v>
      </c>
      <c r="AG21" s="3">
        <v>1026</v>
      </c>
      <c r="AN21" s="61"/>
    </row>
    <row r="22" spans="1:40" ht="18" customHeight="1" x14ac:dyDescent="0.25">
      <c r="A22" s="21">
        <v>990441155</v>
      </c>
      <c r="B22" s="26" t="s">
        <v>128</v>
      </c>
      <c r="C22" s="36" t="s">
        <v>83</v>
      </c>
      <c r="D22" s="22" t="s">
        <v>41</v>
      </c>
      <c r="E22" s="22" t="s">
        <v>10</v>
      </c>
      <c r="F22" s="62">
        <v>126</v>
      </c>
      <c r="G22" s="36"/>
      <c r="AN22" s="61"/>
    </row>
    <row r="23" spans="1:40" ht="18" customHeight="1" x14ac:dyDescent="0.25">
      <c r="A23" s="21">
        <v>990411096</v>
      </c>
      <c r="B23" s="26" t="s">
        <v>98</v>
      </c>
      <c r="C23" s="24" t="s">
        <v>83</v>
      </c>
      <c r="D23" s="21" t="s">
        <v>96</v>
      </c>
      <c r="E23" s="22" t="s">
        <v>10</v>
      </c>
      <c r="F23" s="62">
        <v>126</v>
      </c>
      <c r="G23" s="36">
        <v>367</v>
      </c>
      <c r="AF23" s="3">
        <v>367</v>
      </c>
      <c r="AN23" s="61"/>
    </row>
    <row r="24" spans="1:40" ht="18" customHeight="1" x14ac:dyDescent="0.25">
      <c r="A24" s="21">
        <v>990409517</v>
      </c>
      <c r="B24" s="26" t="s">
        <v>82</v>
      </c>
      <c r="C24" s="24" t="s">
        <v>83</v>
      </c>
      <c r="D24" s="21" t="s">
        <v>18</v>
      </c>
      <c r="E24" s="22" t="s">
        <v>10</v>
      </c>
      <c r="F24" s="62">
        <v>185</v>
      </c>
      <c r="G24" s="36"/>
      <c r="AN24" s="61"/>
    </row>
    <row r="25" spans="1:40" ht="18" customHeight="1" x14ac:dyDescent="0.25">
      <c r="A25" s="21">
        <v>990471217</v>
      </c>
      <c r="B25" s="26" t="s">
        <v>207</v>
      </c>
      <c r="C25" s="30" t="s">
        <v>83</v>
      </c>
      <c r="D25" s="20" t="s">
        <v>91</v>
      </c>
      <c r="E25" s="46" t="s">
        <v>10</v>
      </c>
      <c r="F25" s="62">
        <v>185</v>
      </c>
      <c r="G25" s="36">
        <v>228</v>
      </c>
      <c r="AF25" s="3">
        <v>228</v>
      </c>
      <c r="AN25" s="61"/>
    </row>
    <row r="26" spans="1:40" ht="18" customHeight="1" x14ac:dyDescent="0.25">
      <c r="A26" s="21">
        <v>984185993</v>
      </c>
      <c r="B26" s="26" t="s">
        <v>11</v>
      </c>
      <c r="C26" s="21" t="s">
        <v>12</v>
      </c>
      <c r="D26" s="21" t="s">
        <v>9</v>
      </c>
      <c r="E26" s="22" t="s">
        <v>10</v>
      </c>
      <c r="F26" s="31">
        <v>33</v>
      </c>
      <c r="G26" s="35">
        <v>19569</v>
      </c>
      <c r="AG26" s="3">
        <v>3000</v>
      </c>
      <c r="AK26">
        <v>16569</v>
      </c>
      <c r="AN26" s="61"/>
    </row>
    <row r="27" spans="1:40" s="18" customFormat="1" ht="30" x14ac:dyDescent="0.25">
      <c r="A27" s="48">
        <v>990476611</v>
      </c>
      <c r="B27" s="53" t="s">
        <v>208</v>
      </c>
      <c r="C27" s="30" t="s">
        <v>209</v>
      </c>
      <c r="D27" s="54" t="s">
        <v>15</v>
      </c>
      <c r="E27" s="55" t="s">
        <v>10</v>
      </c>
      <c r="F27" s="56">
        <v>49</v>
      </c>
      <c r="G27" s="50">
        <v>3196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>
        <v>3196</v>
      </c>
      <c r="AG27" s="13"/>
      <c r="AH27" s="13"/>
      <c r="AI27" s="13"/>
      <c r="AM27"/>
      <c r="AN27" s="61"/>
    </row>
    <row r="28" spans="1:40" ht="18" customHeight="1" x14ac:dyDescent="0.25">
      <c r="A28" s="21">
        <v>990399332</v>
      </c>
      <c r="B28" s="34" t="s">
        <v>78</v>
      </c>
      <c r="C28" s="24" t="s">
        <v>24</v>
      </c>
      <c r="D28" s="22" t="s">
        <v>23</v>
      </c>
      <c r="E28" s="22" t="s">
        <v>10</v>
      </c>
      <c r="F28" s="31">
        <v>57</v>
      </c>
      <c r="G28" s="35">
        <v>20891</v>
      </c>
      <c r="P28" s="17"/>
      <c r="AF28" s="3">
        <v>5000</v>
      </c>
      <c r="AG28" s="3">
        <v>5000</v>
      </c>
      <c r="AI28" s="3">
        <v>10891</v>
      </c>
      <c r="AN28" s="61"/>
    </row>
    <row r="29" spans="1:40" ht="18" customHeight="1" x14ac:dyDescent="0.25">
      <c r="A29" s="21">
        <v>984202593</v>
      </c>
      <c r="B29" s="26" t="s">
        <v>235</v>
      </c>
      <c r="C29" s="21" t="s">
        <v>24</v>
      </c>
      <c r="D29" s="21" t="s">
        <v>15</v>
      </c>
      <c r="E29" s="22" t="s">
        <v>10</v>
      </c>
      <c r="F29" s="31">
        <v>72</v>
      </c>
      <c r="G29" s="35">
        <v>7286</v>
      </c>
      <c r="P29" s="17"/>
      <c r="AF29" s="3">
        <v>3643</v>
      </c>
      <c r="AG29" s="3">
        <v>3643</v>
      </c>
      <c r="AN29" s="61"/>
    </row>
    <row r="30" spans="1:40" ht="18" customHeight="1" x14ac:dyDescent="0.25">
      <c r="A30" s="21"/>
      <c r="B30" s="26" t="s">
        <v>245</v>
      </c>
      <c r="C30" s="21" t="s">
        <v>244</v>
      </c>
      <c r="D30" s="21" t="s">
        <v>91</v>
      </c>
      <c r="E30" s="22" t="s">
        <v>134</v>
      </c>
      <c r="F30" s="31">
        <v>28.5</v>
      </c>
      <c r="G30" s="35">
        <v>3904</v>
      </c>
      <c r="P30" s="17"/>
      <c r="AH30" s="3">
        <v>3904</v>
      </c>
      <c r="AN30" s="61"/>
    </row>
    <row r="31" spans="1:40" ht="18" customHeight="1" x14ac:dyDescent="0.25">
      <c r="A31" s="21">
        <v>990470327</v>
      </c>
      <c r="B31" s="27" t="s">
        <v>198</v>
      </c>
      <c r="C31" s="22" t="s">
        <v>24</v>
      </c>
      <c r="D31" s="22" t="s">
        <v>18</v>
      </c>
      <c r="E31" s="22" t="s">
        <v>10</v>
      </c>
      <c r="F31" s="32">
        <v>58</v>
      </c>
      <c r="G31" s="36"/>
      <c r="P31" s="17"/>
      <c r="AN31" s="61"/>
    </row>
    <row r="32" spans="1:40" ht="18" customHeight="1" x14ac:dyDescent="0.25">
      <c r="A32" s="63">
        <v>990485512</v>
      </c>
      <c r="B32" s="27" t="s">
        <v>199</v>
      </c>
      <c r="C32" s="22" t="s">
        <v>24</v>
      </c>
      <c r="D32" s="22" t="s">
        <v>18</v>
      </c>
      <c r="E32" s="22" t="s">
        <v>10</v>
      </c>
      <c r="F32" s="32">
        <v>87</v>
      </c>
      <c r="G32" s="36">
        <v>1456</v>
      </c>
      <c r="AF32" s="3">
        <v>1456</v>
      </c>
      <c r="AN32" s="61"/>
    </row>
    <row r="33" spans="1:40" ht="18" customHeight="1" x14ac:dyDescent="0.25">
      <c r="A33" s="21">
        <v>990449118</v>
      </c>
      <c r="B33" s="26" t="s">
        <v>188</v>
      </c>
      <c r="C33" s="36" t="s">
        <v>164</v>
      </c>
      <c r="D33" s="22" t="s">
        <v>189</v>
      </c>
      <c r="E33" s="22" t="s">
        <v>10</v>
      </c>
      <c r="F33" s="32">
        <v>102.5</v>
      </c>
      <c r="G33" s="35">
        <v>6404</v>
      </c>
      <c r="Y33" s="16"/>
      <c r="AF33" s="3">
        <v>1404</v>
      </c>
      <c r="AG33" s="3">
        <v>2000</v>
      </c>
      <c r="AJ33">
        <v>3000</v>
      </c>
      <c r="AN33" s="61"/>
    </row>
    <row r="34" spans="1:40" ht="18" customHeight="1" x14ac:dyDescent="0.25">
      <c r="A34" s="21">
        <v>990448869</v>
      </c>
      <c r="B34" s="27" t="s">
        <v>190</v>
      </c>
      <c r="C34" s="22" t="s">
        <v>24</v>
      </c>
      <c r="D34" s="22" t="s">
        <v>189</v>
      </c>
      <c r="E34" s="22" t="s">
        <v>134</v>
      </c>
      <c r="F34" s="32">
        <v>90</v>
      </c>
      <c r="G34" s="36"/>
      <c r="AN34" s="61"/>
    </row>
    <row r="35" spans="1:40" ht="18" customHeight="1" x14ac:dyDescent="0.25">
      <c r="A35" s="21">
        <v>990457240</v>
      </c>
      <c r="B35" s="26" t="s">
        <v>163</v>
      </c>
      <c r="C35" s="36" t="s">
        <v>164</v>
      </c>
      <c r="D35" s="22" t="s">
        <v>15</v>
      </c>
      <c r="E35" s="22" t="s">
        <v>134</v>
      </c>
      <c r="F35" s="32">
        <v>72</v>
      </c>
      <c r="G35" s="36">
        <v>2008</v>
      </c>
      <c r="AF35" s="3">
        <v>1008</v>
      </c>
      <c r="AJ35">
        <v>1000</v>
      </c>
      <c r="AN35" s="61"/>
    </row>
    <row r="36" spans="1:40" s="18" customFormat="1" ht="45" x14ac:dyDescent="0.25">
      <c r="A36" s="48">
        <v>990433762</v>
      </c>
      <c r="B36" s="57" t="s">
        <v>138</v>
      </c>
      <c r="C36" s="50" t="s">
        <v>44</v>
      </c>
      <c r="D36" s="51" t="s">
        <v>67</v>
      </c>
      <c r="E36" s="51" t="s">
        <v>10</v>
      </c>
      <c r="F36" s="58">
        <v>32</v>
      </c>
      <c r="G36" s="50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M36"/>
      <c r="AN36" s="61"/>
    </row>
    <row r="37" spans="1:40" ht="18" customHeight="1" x14ac:dyDescent="0.25">
      <c r="A37" s="21">
        <v>984200772</v>
      </c>
      <c r="B37" s="26" t="s">
        <v>43</v>
      </c>
      <c r="C37" s="21" t="s">
        <v>44</v>
      </c>
      <c r="D37" s="21" t="s">
        <v>45</v>
      </c>
      <c r="E37" s="22" t="s">
        <v>10</v>
      </c>
      <c r="F37" s="32">
        <v>51.5</v>
      </c>
      <c r="G37" s="36">
        <v>281</v>
      </c>
      <c r="AJ37">
        <v>281</v>
      </c>
      <c r="AN37" s="61"/>
    </row>
    <row r="38" spans="1:40" s="18" customFormat="1" ht="30" x14ac:dyDescent="0.25">
      <c r="A38" s="48">
        <v>990371999</v>
      </c>
      <c r="B38" s="49" t="s">
        <v>65</v>
      </c>
      <c r="C38" s="59" t="s">
        <v>66</v>
      </c>
      <c r="D38" s="48" t="s">
        <v>67</v>
      </c>
      <c r="E38" s="51" t="s">
        <v>10</v>
      </c>
      <c r="F38" s="58">
        <v>64.5</v>
      </c>
      <c r="G38" s="50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M38"/>
      <c r="AN38" s="61"/>
    </row>
    <row r="39" spans="1:40" ht="18" customHeight="1" x14ac:dyDescent="0.25">
      <c r="A39" s="28">
        <v>980436545</v>
      </c>
      <c r="B39" s="26" t="s">
        <v>37</v>
      </c>
      <c r="C39" s="21" t="s">
        <v>38</v>
      </c>
      <c r="D39" s="21" t="s">
        <v>9</v>
      </c>
      <c r="E39" s="22" t="s">
        <v>10</v>
      </c>
      <c r="F39" s="66">
        <v>255</v>
      </c>
      <c r="G39" s="35"/>
      <c r="AN39" s="61"/>
    </row>
    <row r="40" spans="1:40" ht="18" customHeight="1" x14ac:dyDescent="0.25">
      <c r="A40" s="21">
        <v>990450709</v>
      </c>
      <c r="B40" s="26" t="s">
        <v>169</v>
      </c>
      <c r="C40" s="36" t="s">
        <v>38</v>
      </c>
      <c r="D40" s="22" t="s">
        <v>64</v>
      </c>
      <c r="E40" s="22" t="s">
        <v>10</v>
      </c>
      <c r="F40" s="32">
        <v>290</v>
      </c>
      <c r="G40" s="38"/>
      <c r="AN40" s="61"/>
    </row>
    <row r="41" spans="1:40" ht="18" customHeight="1" x14ac:dyDescent="0.25">
      <c r="A41" s="21">
        <v>990450415</v>
      </c>
      <c r="B41" s="26" t="s">
        <v>168</v>
      </c>
      <c r="C41" s="36" t="s">
        <v>80</v>
      </c>
      <c r="D41" s="22" t="s">
        <v>15</v>
      </c>
      <c r="E41" s="22" t="s">
        <v>134</v>
      </c>
      <c r="F41" s="33">
        <v>165</v>
      </c>
      <c r="G41" s="36"/>
      <c r="AN41" s="61"/>
    </row>
    <row r="42" spans="1:40" ht="18" customHeight="1" x14ac:dyDescent="0.25">
      <c r="A42" s="21">
        <v>990471400</v>
      </c>
      <c r="B42" s="27" t="s">
        <v>211</v>
      </c>
      <c r="C42" s="30" t="s">
        <v>38</v>
      </c>
      <c r="D42" s="20" t="s">
        <v>96</v>
      </c>
      <c r="E42" s="46" t="s">
        <v>10</v>
      </c>
      <c r="F42" s="33">
        <v>190</v>
      </c>
      <c r="G42" s="36"/>
      <c r="AN42" s="61"/>
    </row>
    <row r="43" spans="1:40" ht="18" customHeight="1" x14ac:dyDescent="0.25">
      <c r="A43" s="21">
        <v>990470363</v>
      </c>
      <c r="B43" s="27" t="s">
        <v>210</v>
      </c>
      <c r="C43" s="30" t="s">
        <v>38</v>
      </c>
      <c r="D43" s="20" t="s">
        <v>34</v>
      </c>
      <c r="E43" s="46" t="s">
        <v>10</v>
      </c>
      <c r="F43" s="32">
        <v>145</v>
      </c>
      <c r="G43" s="36"/>
      <c r="AN43" s="61"/>
    </row>
    <row r="44" spans="1:40" ht="18" customHeight="1" x14ac:dyDescent="0.25">
      <c r="A44" s="21">
        <v>990371761</v>
      </c>
      <c r="B44" s="26" t="s">
        <v>63</v>
      </c>
      <c r="C44" s="24" t="s">
        <v>38</v>
      </c>
      <c r="D44" s="21" t="s">
        <v>64</v>
      </c>
      <c r="E44" s="22" t="s">
        <v>10</v>
      </c>
      <c r="F44" s="32">
        <v>225</v>
      </c>
      <c r="G44" s="36"/>
      <c r="AN44" s="61"/>
    </row>
    <row r="45" spans="1:40" ht="18" customHeight="1" x14ac:dyDescent="0.25">
      <c r="A45" s="21">
        <v>990389830</v>
      </c>
      <c r="B45" s="26" t="s">
        <v>79</v>
      </c>
      <c r="C45" s="24" t="s">
        <v>80</v>
      </c>
      <c r="D45" s="22" t="s">
        <v>64</v>
      </c>
      <c r="E45" s="22" t="s">
        <v>10</v>
      </c>
      <c r="F45" s="32">
        <v>210</v>
      </c>
      <c r="G45" s="36"/>
      <c r="AN45" s="61"/>
    </row>
    <row r="46" spans="1:40" ht="18" customHeight="1" x14ac:dyDescent="0.25">
      <c r="A46" s="21">
        <v>990450717</v>
      </c>
      <c r="B46" s="26" t="s">
        <v>170</v>
      </c>
      <c r="C46" s="36" t="s">
        <v>38</v>
      </c>
      <c r="D46" s="22" t="s">
        <v>9</v>
      </c>
      <c r="E46" s="22" t="s">
        <v>10</v>
      </c>
      <c r="F46" s="32">
        <v>270</v>
      </c>
      <c r="G46" s="36"/>
      <c r="AN46" s="61"/>
    </row>
    <row r="47" spans="1:40" ht="18" customHeight="1" x14ac:dyDescent="0.25">
      <c r="A47" s="21">
        <v>990450720</v>
      </c>
      <c r="B47" s="26" t="s">
        <v>171</v>
      </c>
      <c r="C47" s="36" t="s">
        <v>80</v>
      </c>
      <c r="D47" s="22" t="s">
        <v>9</v>
      </c>
      <c r="E47" s="22" t="s">
        <v>10</v>
      </c>
      <c r="F47" s="32">
        <v>270</v>
      </c>
      <c r="G47" s="36"/>
      <c r="AN47" s="61"/>
    </row>
    <row r="48" spans="1:40" ht="18" customHeight="1" x14ac:dyDescent="0.25">
      <c r="A48" s="21">
        <v>990374074</v>
      </c>
      <c r="B48" s="26" t="s">
        <v>60</v>
      </c>
      <c r="C48" s="24" t="s">
        <v>38</v>
      </c>
      <c r="D48" s="21" t="s">
        <v>9</v>
      </c>
      <c r="E48" s="22" t="s">
        <v>10</v>
      </c>
      <c r="F48" s="32">
        <v>208</v>
      </c>
      <c r="G48" s="36"/>
      <c r="AN48" s="61"/>
    </row>
    <row r="49" spans="1:40" ht="18" customHeight="1" x14ac:dyDescent="0.25">
      <c r="A49" s="21">
        <v>990449928</v>
      </c>
      <c r="B49" s="26" t="s">
        <v>172</v>
      </c>
      <c r="C49" s="36" t="s">
        <v>38</v>
      </c>
      <c r="D49" s="22" t="s">
        <v>173</v>
      </c>
      <c r="E49" s="22" t="s">
        <v>10</v>
      </c>
      <c r="F49" s="32">
        <v>175</v>
      </c>
      <c r="G49" s="36"/>
      <c r="AN49" s="61"/>
    </row>
    <row r="50" spans="1:40" ht="18" customHeight="1" x14ac:dyDescent="0.25">
      <c r="A50" s="21">
        <v>990445927</v>
      </c>
      <c r="B50" s="26" t="s">
        <v>174</v>
      </c>
      <c r="C50" s="36" t="s">
        <v>38</v>
      </c>
      <c r="D50" s="22" t="s">
        <v>27</v>
      </c>
      <c r="E50" s="22" t="s">
        <v>10</v>
      </c>
      <c r="F50" s="32">
        <v>200</v>
      </c>
      <c r="G50" s="36"/>
      <c r="AN50" s="61"/>
    </row>
    <row r="51" spans="1:40" ht="18" customHeight="1" x14ac:dyDescent="0.25">
      <c r="A51" s="21">
        <v>990371884</v>
      </c>
      <c r="B51" s="26" t="s">
        <v>61</v>
      </c>
      <c r="C51" s="24" t="s">
        <v>38</v>
      </c>
      <c r="D51" s="21" t="s">
        <v>9</v>
      </c>
      <c r="E51" s="22" t="s">
        <v>10</v>
      </c>
      <c r="F51" s="32">
        <v>215</v>
      </c>
      <c r="G51" s="36"/>
      <c r="AN51" s="61"/>
    </row>
    <row r="52" spans="1:40" ht="18" customHeight="1" x14ac:dyDescent="0.25">
      <c r="A52" s="21">
        <v>990470826</v>
      </c>
      <c r="B52" s="27" t="s">
        <v>212</v>
      </c>
      <c r="C52" s="30" t="s">
        <v>38</v>
      </c>
      <c r="D52" s="20" t="s">
        <v>91</v>
      </c>
      <c r="E52" s="46" t="s">
        <v>10</v>
      </c>
      <c r="F52" s="32">
        <v>225</v>
      </c>
      <c r="G52" s="36"/>
      <c r="AN52" s="61"/>
    </row>
    <row r="53" spans="1:40" ht="18" customHeight="1" x14ac:dyDescent="0.25">
      <c r="A53" s="21">
        <v>990450640</v>
      </c>
      <c r="B53" s="26" t="s">
        <v>175</v>
      </c>
      <c r="C53" s="36" t="s">
        <v>38</v>
      </c>
      <c r="D53" s="22" t="s">
        <v>9</v>
      </c>
      <c r="E53" s="22" t="s">
        <v>10</v>
      </c>
      <c r="F53" s="32">
        <v>206.25</v>
      </c>
      <c r="G53" s="36"/>
      <c r="AN53" s="61"/>
    </row>
    <row r="54" spans="1:40" ht="18" customHeight="1" x14ac:dyDescent="0.25">
      <c r="A54" s="21">
        <v>990390355</v>
      </c>
      <c r="B54" s="26" t="s">
        <v>81</v>
      </c>
      <c r="C54" s="24" t="s">
        <v>80</v>
      </c>
      <c r="D54" s="22" t="s">
        <v>64</v>
      </c>
      <c r="E54" s="22" t="s">
        <v>10</v>
      </c>
      <c r="F54" s="32">
        <v>222.6</v>
      </c>
      <c r="G54" s="36"/>
      <c r="AN54" s="61"/>
    </row>
    <row r="55" spans="1:40" ht="18" customHeight="1" x14ac:dyDescent="0.25">
      <c r="A55" s="21">
        <v>990374108</v>
      </c>
      <c r="B55" s="26" t="s">
        <v>62</v>
      </c>
      <c r="C55" s="24" t="s">
        <v>38</v>
      </c>
      <c r="D55" s="21" t="s">
        <v>27</v>
      </c>
      <c r="E55" s="22" t="s">
        <v>10</v>
      </c>
      <c r="F55" s="32">
        <v>212</v>
      </c>
      <c r="G55" s="36"/>
      <c r="AN55" s="61"/>
    </row>
    <row r="56" spans="1:40" ht="18" customHeight="1" x14ac:dyDescent="0.25">
      <c r="A56" s="21">
        <v>990445992</v>
      </c>
      <c r="B56" s="26" t="s">
        <v>176</v>
      </c>
      <c r="C56" s="36" t="s">
        <v>38</v>
      </c>
      <c r="D56" s="22" t="s">
        <v>9</v>
      </c>
      <c r="E56" s="22" t="s">
        <v>10</v>
      </c>
      <c r="F56" s="32">
        <v>210</v>
      </c>
      <c r="G56" s="36"/>
      <c r="AN56" s="61"/>
    </row>
    <row r="57" spans="1:40" ht="18" customHeight="1" x14ac:dyDescent="0.25">
      <c r="A57" s="21">
        <v>990441596</v>
      </c>
      <c r="B57" s="26" t="s">
        <v>159</v>
      </c>
      <c r="C57" s="36" t="s">
        <v>160</v>
      </c>
      <c r="D57" s="22" t="s">
        <v>161</v>
      </c>
      <c r="E57" s="22" t="s">
        <v>10</v>
      </c>
      <c r="F57" s="32">
        <v>41</v>
      </c>
      <c r="G57" s="36"/>
      <c r="AN57" s="61"/>
    </row>
    <row r="58" spans="1:40" ht="18" customHeight="1" x14ac:dyDescent="0.25">
      <c r="A58" s="21">
        <v>990469714</v>
      </c>
      <c r="B58" s="27" t="s">
        <v>213</v>
      </c>
      <c r="C58" s="30" t="s">
        <v>214</v>
      </c>
      <c r="D58" s="20" t="s">
        <v>15</v>
      </c>
      <c r="E58" s="46" t="s">
        <v>10</v>
      </c>
      <c r="F58" s="32">
        <v>98</v>
      </c>
      <c r="G58" s="36">
        <v>600</v>
      </c>
      <c r="AF58" s="3">
        <v>600</v>
      </c>
      <c r="AI58" s="64" t="s">
        <v>239</v>
      </c>
      <c r="AN58" s="61"/>
    </row>
    <row r="59" spans="1:40" ht="18" customHeight="1" x14ac:dyDescent="0.25">
      <c r="A59" s="21">
        <v>990381576</v>
      </c>
      <c r="B59" s="26" t="s">
        <v>71</v>
      </c>
      <c r="C59" s="24" t="s">
        <v>69</v>
      </c>
      <c r="D59" s="21" t="s">
        <v>18</v>
      </c>
      <c r="E59" s="22" t="s">
        <v>10</v>
      </c>
      <c r="F59" s="62">
        <v>123.5</v>
      </c>
      <c r="G59" s="36">
        <v>3766</v>
      </c>
      <c r="AF59" s="3">
        <v>1195</v>
      </c>
      <c r="AG59" s="3">
        <v>1800</v>
      </c>
      <c r="AH59" s="3">
        <v>771</v>
      </c>
      <c r="AN59" s="61"/>
    </row>
    <row r="60" spans="1:40" ht="18" customHeight="1" x14ac:dyDescent="0.25">
      <c r="A60" s="21">
        <v>990381899</v>
      </c>
      <c r="B60" s="26" t="s">
        <v>68</v>
      </c>
      <c r="C60" s="24" t="s">
        <v>69</v>
      </c>
      <c r="D60" s="21" t="s">
        <v>70</v>
      </c>
      <c r="E60" s="22" t="s">
        <v>10</v>
      </c>
      <c r="F60" s="32">
        <v>90</v>
      </c>
      <c r="G60" s="36">
        <v>2990</v>
      </c>
      <c r="AF60" s="3">
        <v>1565</v>
      </c>
      <c r="AG60" s="3">
        <v>1425</v>
      </c>
      <c r="AN60" s="61"/>
    </row>
    <row r="61" spans="1:40" ht="18" customHeight="1" x14ac:dyDescent="0.25">
      <c r="A61" s="21">
        <v>990447850</v>
      </c>
      <c r="B61" s="26" t="s">
        <v>177</v>
      </c>
      <c r="C61" s="36" t="s">
        <v>69</v>
      </c>
      <c r="D61" s="22" t="s">
        <v>36</v>
      </c>
      <c r="E61" s="22" t="s">
        <v>10</v>
      </c>
      <c r="F61" s="32">
        <v>79</v>
      </c>
      <c r="G61" s="36"/>
      <c r="AN61" s="61"/>
    </row>
    <row r="62" spans="1:40" ht="18" customHeight="1" x14ac:dyDescent="0.25">
      <c r="A62" s="21">
        <v>990471236</v>
      </c>
      <c r="B62" s="27" t="s">
        <v>215</v>
      </c>
      <c r="C62" s="30" t="s">
        <v>214</v>
      </c>
      <c r="D62" s="20" t="s">
        <v>18</v>
      </c>
      <c r="E62" s="46" t="s">
        <v>10</v>
      </c>
      <c r="F62" s="32">
        <v>108</v>
      </c>
      <c r="G62" s="36"/>
      <c r="AN62" s="61"/>
    </row>
    <row r="63" spans="1:40" ht="18" customHeight="1" x14ac:dyDescent="0.25">
      <c r="A63" s="21">
        <v>984188359</v>
      </c>
      <c r="B63" s="26" t="s">
        <v>56</v>
      </c>
      <c r="C63" s="24" t="s">
        <v>55</v>
      </c>
      <c r="D63" s="21" t="s">
        <v>57</v>
      </c>
      <c r="E63" s="22" t="s">
        <v>10</v>
      </c>
      <c r="F63" s="32">
        <v>40.5</v>
      </c>
      <c r="G63" s="36">
        <v>5560</v>
      </c>
      <c r="H63" s="15"/>
      <c r="AF63" s="3">
        <v>2800</v>
      </c>
      <c r="AI63" s="3">
        <v>2760</v>
      </c>
      <c r="AN63" s="61"/>
    </row>
    <row r="64" spans="1:40" ht="18" customHeight="1" x14ac:dyDescent="0.25">
      <c r="A64" s="24">
        <v>984134338</v>
      </c>
      <c r="B64" s="26" t="s">
        <v>230</v>
      </c>
      <c r="C64" s="24" t="s">
        <v>55</v>
      </c>
      <c r="D64" s="21" t="s">
        <v>41</v>
      </c>
      <c r="E64" s="22" t="s">
        <v>10</v>
      </c>
      <c r="F64" s="32">
        <v>32</v>
      </c>
      <c r="G64" s="36"/>
      <c r="AN64" s="61"/>
    </row>
    <row r="65" spans="1:40" s="18" customFormat="1" ht="15" x14ac:dyDescent="0.25">
      <c r="A65" s="48">
        <v>990448872</v>
      </c>
      <c r="B65" s="49" t="s">
        <v>178</v>
      </c>
      <c r="C65" s="50" t="s">
        <v>104</v>
      </c>
      <c r="D65" s="51" t="s">
        <v>91</v>
      </c>
      <c r="E65" s="51" t="s">
        <v>10</v>
      </c>
      <c r="F65" s="58">
        <v>72</v>
      </c>
      <c r="G65" s="5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M65"/>
      <c r="AN65" s="61"/>
    </row>
    <row r="66" spans="1:40" ht="18" customHeight="1" x14ac:dyDescent="0.25">
      <c r="A66" s="21" t="s">
        <v>237</v>
      </c>
      <c r="B66" s="27" t="s">
        <v>216</v>
      </c>
      <c r="C66" s="30" t="s">
        <v>217</v>
      </c>
      <c r="D66" s="20" t="s">
        <v>18</v>
      </c>
      <c r="E66" s="46" t="s">
        <v>10</v>
      </c>
      <c r="F66" s="32">
        <v>35</v>
      </c>
      <c r="G66" s="36">
        <v>1802</v>
      </c>
      <c r="AF66" s="3">
        <v>1802</v>
      </c>
      <c r="AN66" s="61"/>
    </row>
    <row r="67" spans="1:40" s="18" customFormat="1" ht="30" x14ac:dyDescent="0.25">
      <c r="A67" s="48">
        <v>990401925</v>
      </c>
      <c r="B67" s="49" t="s">
        <v>103</v>
      </c>
      <c r="C67" s="59" t="s">
        <v>104</v>
      </c>
      <c r="D67" s="48" t="s">
        <v>91</v>
      </c>
      <c r="E67" s="51" t="s">
        <v>10</v>
      </c>
      <c r="F67" s="73">
        <v>75</v>
      </c>
      <c r="G67" s="5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M67"/>
      <c r="AN67" s="61"/>
    </row>
    <row r="68" spans="1:40" ht="18" customHeight="1" x14ac:dyDescent="0.25">
      <c r="A68" s="21">
        <v>990433835</v>
      </c>
      <c r="B68" s="47" t="s">
        <v>135</v>
      </c>
      <c r="C68" s="36" t="s">
        <v>29</v>
      </c>
      <c r="D68" s="22" t="s">
        <v>67</v>
      </c>
      <c r="E68" s="22" t="s">
        <v>10</v>
      </c>
      <c r="F68" s="32">
        <v>37</v>
      </c>
      <c r="G68" s="36"/>
      <c r="AN68" s="61"/>
    </row>
    <row r="69" spans="1:40" ht="18" customHeight="1" x14ac:dyDescent="0.25">
      <c r="A69" s="21">
        <v>990441774</v>
      </c>
      <c r="B69" s="26" t="s">
        <v>152</v>
      </c>
      <c r="C69" s="36" t="s">
        <v>29</v>
      </c>
      <c r="D69" s="22" t="s">
        <v>67</v>
      </c>
      <c r="E69" s="22" t="s">
        <v>10</v>
      </c>
      <c r="F69" s="32">
        <v>78</v>
      </c>
      <c r="G69" s="36"/>
      <c r="AN69" s="61"/>
    </row>
    <row r="70" spans="1:40" ht="18" customHeight="1" x14ac:dyDescent="0.25">
      <c r="A70" s="21">
        <v>990419467</v>
      </c>
      <c r="B70" s="26" t="s">
        <v>102</v>
      </c>
      <c r="C70" s="24" t="s">
        <v>29</v>
      </c>
      <c r="D70" s="21" t="s">
        <v>34</v>
      </c>
      <c r="E70" s="22" t="s">
        <v>10</v>
      </c>
      <c r="F70" s="32">
        <v>36</v>
      </c>
      <c r="G70" s="36"/>
      <c r="AN70" s="61"/>
    </row>
    <row r="71" spans="1:40" ht="18" customHeight="1" x14ac:dyDescent="0.25">
      <c r="A71" s="21">
        <v>990433334</v>
      </c>
      <c r="B71" s="26" t="s">
        <v>119</v>
      </c>
      <c r="C71" s="36" t="s">
        <v>29</v>
      </c>
      <c r="D71" s="22" t="s">
        <v>9</v>
      </c>
      <c r="E71" s="22" t="s">
        <v>10</v>
      </c>
      <c r="F71" s="32">
        <v>73</v>
      </c>
      <c r="G71" s="36"/>
      <c r="AN71" s="61"/>
    </row>
    <row r="72" spans="1:40" s="18" customFormat="1" ht="15" x14ac:dyDescent="0.25">
      <c r="A72" s="48">
        <v>990419702</v>
      </c>
      <c r="B72" s="49" t="s">
        <v>112</v>
      </c>
      <c r="C72" s="50" t="s">
        <v>113</v>
      </c>
      <c r="D72" s="51" t="s">
        <v>67</v>
      </c>
      <c r="E72" s="51" t="s">
        <v>10</v>
      </c>
      <c r="F72" s="58">
        <v>78</v>
      </c>
      <c r="G72" s="50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M72"/>
      <c r="AN72" s="61"/>
    </row>
    <row r="73" spans="1:40" ht="18" customHeight="1" x14ac:dyDescent="0.25">
      <c r="A73" s="23">
        <v>990379397</v>
      </c>
      <c r="B73" s="26" t="s">
        <v>31</v>
      </c>
      <c r="C73" s="21" t="s">
        <v>29</v>
      </c>
      <c r="D73" s="21" t="s">
        <v>27</v>
      </c>
      <c r="E73" s="22" t="s">
        <v>10</v>
      </c>
      <c r="F73" s="32">
        <v>77</v>
      </c>
      <c r="G73" s="36">
        <v>3153</v>
      </c>
      <c r="AJ73">
        <v>3153</v>
      </c>
      <c r="AN73" s="61"/>
    </row>
    <row r="74" spans="1:40" ht="18" customHeight="1" x14ac:dyDescent="0.25">
      <c r="A74" s="21">
        <v>990425573</v>
      </c>
      <c r="B74" s="26" t="s">
        <v>129</v>
      </c>
      <c r="C74" s="36" t="s">
        <v>29</v>
      </c>
      <c r="D74" s="22" t="s">
        <v>27</v>
      </c>
      <c r="E74" s="22" t="s">
        <v>10</v>
      </c>
      <c r="F74" s="32">
        <v>72</v>
      </c>
      <c r="G74" s="36"/>
      <c r="AN74" s="61"/>
    </row>
    <row r="75" spans="1:40" s="18" customFormat="1" ht="30" x14ac:dyDescent="0.25">
      <c r="A75" s="48" t="s">
        <v>238</v>
      </c>
      <c r="B75" s="49" t="s">
        <v>125</v>
      </c>
      <c r="C75" s="50" t="s">
        <v>29</v>
      </c>
      <c r="D75" s="51" t="s">
        <v>67</v>
      </c>
      <c r="E75" s="51" t="s">
        <v>10</v>
      </c>
      <c r="F75" s="58">
        <v>60</v>
      </c>
      <c r="G75" s="50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M75"/>
      <c r="AN75" s="61"/>
    </row>
    <row r="76" spans="1:40" ht="18" customHeight="1" x14ac:dyDescent="0.25">
      <c r="A76" s="21">
        <v>990447191</v>
      </c>
      <c r="B76" s="26" t="s">
        <v>155</v>
      </c>
      <c r="C76" s="36" t="s">
        <v>29</v>
      </c>
      <c r="D76" s="22" t="s">
        <v>156</v>
      </c>
      <c r="E76" s="22" t="s">
        <v>10</v>
      </c>
      <c r="F76" s="31">
        <v>90</v>
      </c>
      <c r="G76" s="36"/>
      <c r="AN76" s="61"/>
    </row>
    <row r="77" spans="1:40" ht="18" customHeight="1" x14ac:dyDescent="0.25">
      <c r="A77" s="21">
        <v>990446441</v>
      </c>
      <c r="B77" s="26" t="s">
        <v>179</v>
      </c>
      <c r="C77" s="36" t="s">
        <v>180</v>
      </c>
      <c r="D77" s="22" t="s">
        <v>181</v>
      </c>
      <c r="E77" s="22" t="s">
        <v>10</v>
      </c>
      <c r="F77" s="33">
        <v>86</v>
      </c>
      <c r="G77" s="36"/>
      <c r="AN77" s="61"/>
    </row>
    <row r="78" spans="1:40" ht="18" customHeight="1" x14ac:dyDescent="0.25">
      <c r="A78" s="63">
        <v>990485488</v>
      </c>
      <c r="B78" s="27" t="s">
        <v>200</v>
      </c>
      <c r="C78" s="22" t="s">
        <v>201</v>
      </c>
      <c r="D78" s="22" t="s">
        <v>57</v>
      </c>
      <c r="E78" s="22" t="s">
        <v>10</v>
      </c>
      <c r="F78" s="33">
        <v>30</v>
      </c>
      <c r="G78" s="36">
        <v>2503</v>
      </c>
      <c r="AF78" s="3">
        <v>2503</v>
      </c>
      <c r="AN78" s="61"/>
    </row>
    <row r="79" spans="1:40" ht="18" customHeight="1" x14ac:dyDescent="0.25">
      <c r="A79" s="63"/>
      <c r="B79" s="27" t="s">
        <v>242</v>
      </c>
      <c r="C79" s="22" t="s">
        <v>243</v>
      </c>
      <c r="D79" s="22" t="s">
        <v>70</v>
      </c>
      <c r="E79" s="22" t="s">
        <v>10</v>
      </c>
      <c r="F79" s="33">
        <v>45</v>
      </c>
      <c r="G79" s="36">
        <v>3370</v>
      </c>
      <c r="AH79" s="3">
        <v>3370</v>
      </c>
      <c r="AN79" s="61"/>
    </row>
    <row r="80" spans="1:40" ht="18" customHeight="1" x14ac:dyDescent="0.25">
      <c r="A80" s="21">
        <v>990453112</v>
      </c>
      <c r="B80" s="26" t="s">
        <v>150</v>
      </c>
      <c r="C80" s="36" t="s">
        <v>52</v>
      </c>
      <c r="D80" s="22" t="s">
        <v>91</v>
      </c>
      <c r="E80" s="22" t="s">
        <v>10</v>
      </c>
      <c r="F80" s="32">
        <v>82.6</v>
      </c>
      <c r="G80" s="36"/>
      <c r="AN80" s="61"/>
    </row>
    <row r="81" spans="1:40" ht="18" customHeight="1" x14ac:dyDescent="0.25">
      <c r="A81" s="21">
        <v>990451675</v>
      </c>
      <c r="B81" s="26" t="s">
        <v>148</v>
      </c>
      <c r="C81" s="36" t="s">
        <v>52</v>
      </c>
      <c r="D81" s="22" t="s">
        <v>149</v>
      </c>
      <c r="E81" s="22" t="s">
        <v>10</v>
      </c>
      <c r="F81" s="32">
        <v>82.6</v>
      </c>
      <c r="G81" s="36"/>
      <c r="AN81" s="61"/>
    </row>
    <row r="82" spans="1:40" s="18" customFormat="1" ht="15" x14ac:dyDescent="0.25">
      <c r="A82" s="48">
        <v>990453802</v>
      </c>
      <c r="B82" s="49" t="s">
        <v>97</v>
      </c>
      <c r="C82" s="59" t="s">
        <v>52</v>
      </c>
      <c r="D82" s="48" t="s">
        <v>91</v>
      </c>
      <c r="E82" s="51" t="s">
        <v>10</v>
      </c>
      <c r="F82" s="58">
        <v>115</v>
      </c>
      <c r="G82" s="50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M82"/>
      <c r="AN82" s="61"/>
    </row>
    <row r="83" spans="1:40" ht="18" customHeight="1" x14ac:dyDescent="0.25">
      <c r="A83" s="21">
        <v>990352129</v>
      </c>
      <c r="B83" s="26" t="s">
        <v>53</v>
      </c>
      <c r="C83" s="24" t="s">
        <v>52</v>
      </c>
      <c r="D83" s="21" t="s">
        <v>18</v>
      </c>
      <c r="E83" s="22" t="s">
        <v>10</v>
      </c>
      <c r="F83" s="32">
        <v>82</v>
      </c>
      <c r="G83" s="36"/>
      <c r="AN83" s="61"/>
    </row>
    <row r="84" spans="1:40" ht="15" x14ac:dyDescent="0.25">
      <c r="A84" s="21">
        <v>990357827</v>
      </c>
      <c r="B84" s="34" t="s">
        <v>51</v>
      </c>
      <c r="C84" s="24" t="s">
        <v>52</v>
      </c>
      <c r="D84" s="21" t="s">
        <v>18</v>
      </c>
      <c r="E84" s="22" t="s">
        <v>10</v>
      </c>
      <c r="F84" s="32">
        <v>82</v>
      </c>
      <c r="G84" s="36">
        <v>5443</v>
      </c>
      <c r="AF84" s="3">
        <v>3443</v>
      </c>
      <c r="AG84" s="3">
        <v>2000</v>
      </c>
      <c r="AN84" s="61"/>
    </row>
    <row r="85" spans="1:40" ht="18" customHeight="1" x14ac:dyDescent="0.25">
      <c r="A85" s="21">
        <v>990452441</v>
      </c>
      <c r="B85" s="26" t="s">
        <v>151</v>
      </c>
      <c r="C85" s="36" t="s">
        <v>52</v>
      </c>
      <c r="D85" s="22" t="s">
        <v>91</v>
      </c>
      <c r="E85" s="22" t="s">
        <v>10</v>
      </c>
      <c r="F85" s="32">
        <v>82.6</v>
      </c>
      <c r="G85" s="36"/>
      <c r="AN85" s="61"/>
    </row>
    <row r="86" spans="1:40" ht="18" customHeight="1" x14ac:dyDescent="0.25">
      <c r="A86" s="21">
        <v>990400809</v>
      </c>
      <c r="B86" s="26" t="s">
        <v>85</v>
      </c>
      <c r="C86" s="24" t="s">
        <v>52</v>
      </c>
      <c r="D86" s="21" t="s">
        <v>18</v>
      </c>
      <c r="E86" s="22" t="s">
        <v>10</v>
      </c>
      <c r="F86" s="32">
        <v>82</v>
      </c>
      <c r="G86" s="36">
        <v>100</v>
      </c>
      <c r="AN86" s="61"/>
    </row>
    <row r="87" spans="1:40" ht="18" customHeight="1" x14ac:dyDescent="0.25">
      <c r="A87" s="21">
        <v>990449082</v>
      </c>
      <c r="B87" s="26" t="s">
        <v>182</v>
      </c>
      <c r="C87" s="36" t="s">
        <v>183</v>
      </c>
      <c r="D87" s="22" t="s">
        <v>57</v>
      </c>
      <c r="E87" s="22" t="s">
        <v>10</v>
      </c>
      <c r="F87" s="32">
        <v>76</v>
      </c>
      <c r="G87" s="36">
        <v>3048</v>
      </c>
      <c r="AG87" s="3">
        <v>2000</v>
      </c>
      <c r="AK87">
        <v>1048</v>
      </c>
      <c r="AN87" s="61"/>
    </row>
    <row r="88" spans="1:40" ht="18" customHeight="1" x14ac:dyDescent="0.25">
      <c r="A88" s="21">
        <v>990449032</v>
      </c>
      <c r="B88" s="26" t="s">
        <v>184</v>
      </c>
      <c r="C88" s="36" t="s">
        <v>183</v>
      </c>
      <c r="D88" s="22" t="s">
        <v>57</v>
      </c>
      <c r="E88" s="22" t="s">
        <v>10</v>
      </c>
      <c r="F88" s="32">
        <v>72</v>
      </c>
      <c r="G88" s="36">
        <v>808</v>
      </c>
      <c r="AG88" s="3">
        <v>400</v>
      </c>
      <c r="AK88">
        <v>408</v>
      </c>
      <c r="AN88" s="61"/>
    </row>
    <row r="89" spans="1:40" s="18" customFormat="1" ht="15" x14ac:dyDescent="0.25">
      <c r="A89" s="48">
        <v>990469575</v>
      </c>
      <c r="B89" s="53" t="s">
        <v>191</v>
      </c>
      <c r="C89" s="51" t="s">
        <v>192</v>
      </c>
      <c r="D89" s="51" t="s">
        <v>91</v>
      </c>
      <c r="E89" s="51" t="s">
        <v>10</v>
      </c>
      <c r="F89" s="58">
        <v>30</v>
      </c>
      <c r="G89" s="50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M89"/>
      <c r="AN89" s="61"/>
    </row>
    <row r="90" spans="1:40" ht="18" customHeight="1" x14ac:dyDescent="0.25">
      <c r="A90" s="21">
        <v>990371443</v>
      </c>
      <c r="B90" s="26" t="s">
        <v>25</v>
      </c>
      <c r="C90" s="21" t="s">
        <v>26</v>
      </c>
      <c r="D90" s="21" t="s">
        <v>27</v>
      </c>
      <c r="E90" s="22" t="s">
        <v>10</v>
      </c>
      <c r="F90" s="62">
        <v>55</v>
      </c>
      <c r="G90" s="36">
        <v>9180</v>
      </c>
      <c r="AF90" s="3">
        <v>1000</v>
      </c>
      <c r="AH90" s="3">
        <v>3000</v>
      </c>
      <c r="AM90">
        <v>5184</v>
      </c>
      <c r="AN90" s="61"/>
    </row>
    <row r="91" spans="1:40" ht="18" customHeight="1" x14ac:dyDescent="0.25">
      <c r="A91" s="21">
        <v>990390416</v>
      </c>
      <c r="B91" s="26" t="s">
        <v>233</v>
      </c>
      <c r="C91" s="24" t="s">
        <v>73</v>
      </c>
      <c r="D91" s="21" t="s">
        <v>15</v>
      </c>
      <c r="E91" s="22" t="s">
        <v>10</v>
      </c>
      <c r="F91" s="32">
        <v>145</v>
      </c>
      <c r="G91" s="36"/>
      <c r="AN91" s="61"/>
    </row>
    <row r="92" spans="1:40" ht="18" customHeight="1" x14ac:dyDescent="0.25">
      <c r="A92" s="21">
        <v>990393173</v>
      </c>
      <c r="B92" s="26" t="s">
        <v>72</v>
      </c>
      <c r="C92" s="24" t="s">
        <v>73</v>
      </c>
      <c r="D92" s="21" t="s">
        <v>15</v>
      </c>
      <c r="E92" s="22" t="s">
        <v>10</v>
      </c>
      <c r="F92" s="62">
        <v>165</v>
      </c>
      <c r="G92" s="36">
        <v>1200</v>
      </c>
      <c r="AG92" s="3">
        <v>108</v>
      </c>
      <c r="AH92" s="3">
        <v>108</v>
      </c>
      <c r="AM92">
        <v>1008</v>
      </c>
      <c r="AN92" s="61"/>
    </row>
    <row r="93" spans="1:40" ht="18" customHeight="1" x14ac:dyDescent="0.25">
      <c r="A93" s="21">
        <v>990390359</v>
      </c>
      <c r="B93" s="26" t="s">
        <v>75</v>
      </c>
      <c r="C93" s="24" t="s">
        <v>73</v>
      </c>
      <c r="D93" s="21" t="s">
        <v>15</v>
      </c>
      <c r="E93" s="22" t="s">
        <v>10</v>
      </c>
      <c r="F93" s="32">
        <v>165</v>
      </c>
      <c r="G93" s="36">
        <v>100</v>
      </c>
      <c r="AG93" s="3">
        <v>100</v>
      </c>
      <c r="AN93" s="61"/>
    </row>
    <row r="94" spans="1:40" ht="18" customHeight="1" x14ac:dyDescent="0.25">
      <c r="A94" s="21">
        <v>990390367</v>
      </c>
      <c r="B94" s="26" t="s">
        <v>76</v>
      </c>
      <c r="C94" s="24" t="s">
        <v>73</v>
      </c>
      <c r="D94" s="21" t="s">
        <v>15</v>
      </c>
      <c r="E94" s="22" t="s">
        <v>10</v>
      </c>
      <c r="F94" s="32">
        <v>165</v>
      </c>
      <c r="G94" s="36">
        <v>200</v>
      </c>
      <c r="AG94" s="3">
        <v>100</v>
      </c>
      <c r="AK94">
        <v>100</v>
      </c>
      <c r="AN94" s="61"/>
    </row>
    <row r="95" spans="1:40" ht="18" customHeight="1" x14ac:dyDescent="0.25">
      <c r="A95" s="21">
        <v>990390418</v>
      </c>
      <c r="B95" s="26" t="s">
        <v>77</v>
      </c>
      <c r="C95" s="24" t="s">
        <v>73</v>
      </c>
      <c r="D95" s="21" t="s">
        <v>15</v>
      </c>
      <c r="E95" s="22" t="s">
        <v>10</v>
      </c>
      <c r="F95" s="32">
        <v>165</v>
      </c>
      <c r="G95" s="36"/>
      <c r="AN95" s="61"/>
    </row>
    <row r="96" spans="1:40" ht="18" customHeight="1" x14ac:dyDescent="0.25">
      <c r="A96" s="21">
        <v>990464845</v>
      </c>
      <c r="B96" s="27" t="s">
        <v>74</v>
      </c>
      <c r="C96" s="21" t="s">
        <v>73</v>
      </c>
      <c r="D96" s="21" t="s">
        <v>15</v>
      </c>
      <c r="E96" s="22" t="s">
        <v>10</v>
      </c>
      <c r="F96" s="32">
        <v>145</v>
      </c>
      <c r="G96" s="22">
        <v>78</v>
      </c>
      <c r="AG96" s="3">
        <v>78</v>
      </c>
      <c r="AN96" s="61"/>
    </row>
    <row r="97" spans="1:40" s="18" customFormat="1" ht="30" x14ac:dyDescent="0.25">
      <c r="A97" s="48">
        <v>990433734</v>
      </c>
      <c r="B97" s="57" t="s">
        <v>142</v>
      </c>
      <c r="C97" s="50" t="s">
        <v>143</v>
      </c>
      <c r="D97" s="51" t="s">
        <v>67</v>
      </c>
      <c r="E97" s="51" t="s">
        <v>10</v>
      </c>
      <c r="F97" s="58">
        <v>55</v>
      </c>
      <c r="G97" s="50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65" t="s">
        <v>240</v>
      </c>
      <c r="AF97" s="13"/>
      <c r="AG97" s="13"/>
      <c r="AH97" s="13"/>
      <c r="AI97" s="65" t="s">
        <v>240</v>
      </c>
      <c r="AM97"/>
      <c r="AN97" s="61"/>
    </row>
    <row r="98" spans="1:40" ht="18" customHeight="1" x14ac:dyDescent="0.25">
      <c r="A98" s="21">
        <v>990471402</v>
      </c>
      <c r="B98" s="27" t="s">
        <v>218</v>
      </c>
      <c r="C98" s="30" t="s">
        <v>143</v>
      </c>
      <c r="D98" s="20" t="s">
        <v>219</v>
      </c>
      <c r="E98" s="46" t="s">
        <v>10</v>
      </c>
      <c r="F98" s="62">
        <v>74</v>
      </c>
      <c r="G98" s="36">
        <v>1311</v>
      </c>
      <c r="AE98" s="65" t="s">
        <v>240</v>
      </c>
      <c r="AI98" s="65" t="s">
        <v>240</v>
      </c>
      <c r="AK98">
        <v>1311</v>
      </c>
      <c r="AN98" s="61"/>
    </row>
    <row r="99" spans="1:40" ht="18" customHeight="1" x14ac:dyDescent="0.25">
      <c r="A99" s="21">
        <v>990421698</v>
      </c>
      <c r="B99" s="26" t="s">
        <v>120</v>
      </c>
      <c r="C99" s="36" t="s">
        <v>121</v>
      </c>
      <c r="D99" s="22" t="s">
        <v>91</v>
      </c>
      <c r="E99" s="22" t="s">
        <v>10</v>
      </c>
      <c r="F99" s="32">
        <v>250</v>
      </c>
      <c r="G99" s="36"/>
      <c r="AN99" s="61"/>
    </row>
    <row r="100" spans="1:40" s="18" customFormat="1" ht="45" x14ac:dyDescent="0.25">
      <c r="A100" s="48">
        <v>990433365</v>
      </c>
      <c r="B100" s="57" t="s">
        <v>139</v>
      </c>
      <c r="C100" s="50" t="s">
        <v>140</v>
      </c>
      <c r="D100" s="51" t="s">
        <v>67</v>
      </c>
      <c r="E100" s="51" t="s">
        <v>10</v>
      </c>
      <c r="F100" s="58">
        <v>37</v>
      </c>
      <c r="G100" s="50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M100"/>
      <c r="AN100" s="61"/>
    </row>
    <row r="101" spans="1:40" s="18" customFormat="1" ht="30" x14ac:dyDescent="0.25">
      <c r="A101" s="48">
        <v>990422709</v>
      </c>
      <c r="B101" s="49" t="s">
        <v>114</v>
      </c>
      <c r="C101" s="50" t="s">
        <v>115</v>
      </c>
      <c r="D101" s="51" t="s">
        <v>67</v>
      </c>
      <c r="E101" s="51" t="s">
        <v>10</v>
      </c>
      <c r="F101" s="58">
        <v>52.2</v>
      </c>
      <c r="G101" s="50">
        <v>100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K101" s="18">
        <v>100</v>
      </c>
      <c r="AM101"/>
      <c r="AN101" s="61"/>
    </row>
    <row r="102" spans="1:40" ht="18" customHeight="1" x14ac:dyDescent="0.25">
      <c r="A102" s="21">
        <v>990409964</v>
      </c>
      <c r="B102" s="26" t="s">
        <v>90</v>
      </c>
      <c r="C102" s="24" t="s">
        <v>89</v>
      </c>
      <c r="D102" s="21" t="s">
        <v>91</v>
      </c>
      <c r="E102" s="22" t="s">
        <v>10</v>
      </c>
      <c r="F102" s="32">
        <v>30</v>
      </c>
      <c r="G102" s="36"/>
      <c r="AN102" s="61"/>
    </row>
    <row r="103" spans="1:40" ht="18" customHeight="1" x14ac:dyDescent="0.25">
      <c r="A103" s="21">
        <v>990409471</v>
      </c>
      <c r="B103" s="26" t="s">
        <v>88</v>
      </c>
      <c r="C103" s="24" t="s">
        <v>89</v>
      </c>
      <c r="D103" s="21" t="s">
        <v>18</v>
      </c>
      <c r="E103" s="22" t="s">
        <v>10</v>
      </c>
      <c r="F103" s="32">
        <v>30</v>
      </c>
      <c r="G103" s="36">
        <v>400</v>
      </c>
      <c r="AG103" s="3">
        <v>200</v>
      </c>
      <c r="AK103">
        <v>200</v>
      </c>
      <c r="AN103" s="61"/>
    </row>
    <row r="104" spans="1:40" ht="18" customHeight="1" x14ac:dyDescent="0.25">
      <c r="A104" s="21">
        <v>990419425</v>
      </c>
      <c r="B104" s="26" t="s">
        <v>92</v>
      </c>
      <c r="C104" s="24" t="s">
        <v>89</v>
      </c>
      <c r="D104" s="21" t="s">
        <v>91</v>
      </c>
      <c r="E104" s="22" t="s">
        <v>10</v>
      </c>
      <c r="F104" s="32">
        <v>30</v>
      </c>
      <c r="G104" s="36">
        <v>1280</v>
      </c>
      <c r="AG104" s="3">
        <v>780</v>
      </c>
      <c r="AK104">
        <v>500</v>
      </c>
      <c r="AN104" s="61"/>
    </row>
    <row r="105" spans="1:40" ht="18" customHeight="1" x14ac:dyDescent="0.25">
      <c r="A105" s="21">
        <v>984200411</v>
      </c>
      <c r="B105" s="26" t="s">
        <v>19</v>
      </c>
      <c r="C105" s="21" t="s">
        <v>20</v>
      </c>
      <c r="D105" s="21" t="s">
        <v>9</v>
      </c>
      <c r="E105" s="22" t="s">
        <v>10</v>
      </c>
      <c r="F105" s="32">
        <v>31.85</v>
      </c>
      <c r="G105" s="35">
        <v>16374</v>
      </c>
      <c r="AG105" s="3">
        <v>2635</v>
      </c>
      <c r="AH105" s="3">
        <v>5000</v>
      </c>
      <c r="AK105">
        <v>8739</v>
      </c>
      <c r="AN105" s="61"/>
    </row>
    <row r="106" spans="1:40" ht="18" customHeight="1" x14ac:dyDescent="0.25">
      <c r="A106" s="24">
        <v>984185994</v>
      </c>
      <c r="B106" s="26" t="s">
        <v>46</v>
      </c>
      <c r="C106" s="24" t="s">
        <v>47</v>
      </c>
      <c r="D106" s="21" t="s">
        <v>27</v>
      </c>
      <c r="E106" s="22" t="s">
        <v>10</v>
      </c>
      <c r="F106" s="32">
        <v>121.9</v>
      </c>
      <c r="G106" s="36">
        <v>575</v>
      </c>
      <c r="AG106" s="3">
        <v>575</v>
      </c>
      <c r="AN106" s="61"/>
    </row>
    <row r="107" spans="1:40" ht="18" customHeight="1" x14ac:dyDescent="0.25">
      <c r="A107" s="21">
        <v>990419677</v>
      </c>
      <c r="B107" s="26" t="s">
        <v>111</v>
      </c>
      <c r="C107" s="36" t="s">
        <v>110</v>
      </c>
      <c r="D107" s="22" t="s">
        <v>64</v>
      </c>
      <c r="E107" s="22" t="s">
        <v>10</v>
      </c>
      <c r="F107" s="32">
        <v>210</v>
      </c>
      <c r="G107" s="36">
        <v>1824</v>
      </c>
      <c r="AG107" s="3">
        <v>1824</v>
      </c>
      <c r="AN107" s="61"/>
    </row>
    <row r="108" spans="1:40" ht="18" customHeight="1" x14ac:dyDescent="0.25">
      <c r="A108" s="21">
        <v>990471248</v>
      </c>
      <c r="B108" s="27" t="s">
        <v>222</v>
      </c>
      <c r="C108" s="30" t="s">
        <v>221</v>
      </c>
      <c r="D108" s="20" t="s">
        <v>219</v>
      </c>
      <c r="E108" s="46" t="s">
        <v>10</v>
      </c>
      <c r="F108" s="32">
        <v>215</v>
      </c>
      <c r="G108" s="36">
        <v>660</v>
      </c>
      <c r="AG108" s="3">
        <v>600</v>
      </c>
      <c r="AN108" s="61"/>
    </row>
    <row r="109" spans="1:40" ht="18" customHeight="1" x14ac:dyDescent="0.25">
      <c r="A109" s="21">
        <v>990471265</v>
      </c>
      <c r="B109" s="27" t="s">
        <v>220</v>
      </c>
      <c r="C109" s="30" t="s">
        <v>221</v>
      </c>
      <c r="D109" s="20" t="s">
        <v>219</v>
      </c>
      <c r="E109" s="46" t="s">
        <v>10</v>
      </c>
      <c r="F109" s="32">
        <v>220</v>
      </c>
      <c r="G109" s="36">
        <v>300</v>
      </c>
      <c r="AK109">
        <v>300</v>
      </c>
      <c r="AN109" s="61"/>
    </row>
    <row r="110" spans="1:40" ht="18" customHeight="1" x14ac:dyDescent="0.25">
      <c r="A110" s="21" t="s">
        <v>108</v>
      </c>
      <c r="B110" s="26" t="s">
        <v>109</v>
      </c>
      <c r="C110" s="36" t="s">
        <v>110</v>
      </c>
      <c r="D110" s="22" t="s">
        <v>57</v>
      </c>
      <c r="E110" s="22" t="s">
        <v>10</v>
      </c>
      <c r="F110" s="32">
        <v>210</v>
      </c>
      <c r="G110" s="36"/>
      <c r="AN110" s="61"/>
    </row>
    <row r="111" spans="1:40" ht="18" customHeight="1" x14ac:dyDescent="0.25">
      <c r="A111" s="21">
        <v>990449629</v>
      </c>
      <c r="B111" s="26" t="s">
        <v>124</v>
      </c>
      <c r="C111" s="36" t="s">
        <v>33</v>
      </c>
      <c r="D111" s="22" t="s">
        <v>91</v>
      </c>
      <c r="E111" s="22" t="s">
        <v>10</v>
      </c>
      <c r="F111" s="32">
        <v>63.5</v>
      </c>
      <c r="G111" s="36"/>
      <c r="AN111" s="61"/>
    </row>
    <row r="112" spans="1:40" ht="18" customHeight="1" x14ac:dyDescent="0.25">
      <c r="A112" s="24">
        <v>990371835</v>
      </c>
      <c r="B112" s="26" t="s">
        <v>32</v>
      </c>
      <c r="C112" s="21" t="s">
        <v>33</v>
      </c>
      <c r="D112" s="21" t="s">
        <v>34</v>
      </c>
      <c r="E112" s="22" t="s">
        <v>10</v>
      </c>
      <c r="F112" s="32">
        <v>58.3</v>
      </c>
      <c r="G112" s="36">
        <v>10075</v>
      </c>
      <c r="AG112" s="3">
        <v>690</v>
      </c>
      <c r="AH112" s="3">
        <v>3000</v>
      </c>
      <c r="AK112">
        <v>6385</v>
      </c>
      <c r="AN112" s="61"/>
    </row>
    <row r="113" spans="1:40" ht="18" customHeight="1" x14ac:dyDescent="0.25">
      <c r="A113" s="21">
        <v>990469461</v>
      </c>
      <c r="B113" s="27" t="s">
        <v>204</v>
      </c>
      <c r="C113" s="22" t="s">
        <v>154</v>
      </c>
      <c r="D113" s="22" t="s">
        <v>57</v>
      </c>
      <c r="E113" s="22" t="s">
        <v>10</v>
      </c>
      <c r="F113" s="32">
        <v>22</v>
      </c>
      <c r="G113" s="36"/>
      <c r="AN113" s="61"/>
    </row>
    <row r="114" spans="1:40" ht="18" customHeight="1" x14ac:dyDescent="0.25">
      <c r="A114" s="21">
        <v>990469253</v>
      </c>
      <c r="B114" s="27" t="s">
        <v>194</v>
      </c>
      <c r="C114" s="22" t="s">
        <v>195</v>
      </c>
      <c r="D114" s="22" t="s">
        <v>18</v>
      </c>
      <c r="E114" s="22" t="s">
        <v>134</v>
      </c>
      <c r="F114" s="32">
        <v>20</v>
      </c>
      <c r="G114" s="36">
        <v>296</v>
      </c>
      <c r="AG114" s="3">
        <v>296</v>
      </c>
      <c r="AN114" s="61"/>
    </row>
    <row r="115" spans="1:40" s="18" customFormat="1" ht="30" x14ac:dyDescent="0.25">
      <c r="A115" s="48">
        <v>990449472</v>
      </c>
      <c r="B115" s="49" t="s">
        <v>153</v>
      </c>
      <c r="C115" s="50" t="s">
        <v>154</v>
      </c>
      <c r="D115" s="51" t="s">
        <v>67</v>
      </c>
      <c r="E115" s="51" t="s">
        <v>10</v>
      </c>
      <c r="F115" s="58">
        <v>40.75</v>
      </c>
      <c r="G115" s="50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M115"/>
      <c r="AN115" s="61"/>
    </row>
    <row r="116" spans="1:40" ht="18" customHeight="1" x14ac:dyDescent="0.25">
      <c r="A116" s="21">
        <v>990445084</v>
      </c>
      <c r="B116" s="26" t="s">
        <v>166</v>
      </c>
      <c r="C116" s="36" t="s">
        <v>154</v>
      </c>
      <c r="D116" s="22" t="s">
        <v>57</v>
      </c>
      <c r="E116" s="22" t="s">
        <v>10</v>
      </c>
      <c r="F116" s="62">
        <v>38</v>
      </c>
      <c r="G116" s="36">
        <v>6000</v>
      </c>
      <c r="AG116" s="3">
        <v>2016</v>
      </c>
      <c r="AJ116">
        <v>4008</v>
      </c>
      <c r="AN116" s="61"/>
    </row>
    <row r="117" spans="1:40" ht="18" customHeight="1" x14ac:dyDescent="0.25">
      <c r="A117" s="21">
        <v>990460135</v>
      </c>
      <c r="B117" s="26" t="s">
        <v>167</v>
      </c>
      <c r="C117" s="36" t="s">
        <v>154</v>
      </c>
      <c r="D117" s="22" t="s">
        <v>161</v>
      </c>
      <c r="E117" s="22" t="s">
        <v>10</v>
      </c>
      <c r="F117" s="62">
        <v>38</v>
      </c>
      <c r="G117" s="36">
        <v>3000</v>
      </c>
      <c r="AJ117">
        <v>3000</v>
      </c>
      <c r="AN117" s="61"/>
    </row>
    <row r="118" spans="1:40" ht="18" customHeight="1" x14ac:dyDescent="0.25">
      <c r="A118" s="21">
        <v>990449466</v>
      </c>
      <c r="B118" s="26" t="s">
        <v>165</v>
      </c>
      <c r="C118" s="36" t="s">
        <v>154</v>
      </c>
      <c r="D118" s="22" t="s">
        <v>161</v>
      </c>
      <c r="E118" s="22" t="s">
        <v>134</v>
      </c>
      <c r="F118" s="32">
        <v>33</v>
      </c>
      <c r="G118" s="36"/>
      <c r="AN118" s="61"/>
    </row>
    <row r="119" spans="1:40" s="18" customFormat="1" ht="15" x14ac:dyDescent="0.25">
      <c r="A119" s="48">
        <v>990469402</v>
      </c>
      <c r="B119" s="53" t="s">
        <v>202</v>
      </c>
      <c r="C119" s="51" t="s">
        <v>203</v>
      </c>
      <c r="D119" s="51" t="s">
        <v>91</v>
      </c>
      <c r="E119" s="51" t="s">
        <v>10</v>
      </c>
      <c r="F119" s="58">
        <v>65</v>
      </c>
      <c r="G119" s="50">
        <v>500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K119" s="18">
        <v>500</v>
      </c>
      <c r="AM119"/>
      <c r="AN119" s="61"/>
    </row>
    <row r="120" spans="1:40" ht="18" customHeight="1" x14ac:dyDescent="0.25">
      <c r="A120" s="21">
        <v>990433368</v>
      </c>
      <c r="B120" s="27" t="s">
        <v>126</v>
      </c>
      <c r="C120" s="22" t="s">
        <v>127</v>
      </c>
      <c r="D120" s="22" t="s">
        <v>91</v>
      </c>
      <c r="E120" s="22" t="s">
        <v>10</v>
      </c>
      <c r="F120" s="32">
        <v>97</v>
      </c>
      <c r="G120" s="22"/>
      <c r="AN120" s="61"/>
    </row>
    <row r="121" spans="1:40" ht="18" customHeight="1" x14ac:dyDescent="0.25">
      <c r="A121" s="21">
        <v>984186748</v>
      </c>
      <c r="B121" s="27" t="s">
        <v>54</v>
      </c>
      <c r="C121" s="21" t="s">
        <v>47</v>
      </c>
      <c r="D121" s="21" t="s">
        <v>15</v>
      </c>
      <c r="E121" s="22" t="s">
        <v>10</v>
      </c>
      <c r="F121" s="32">
        <v>190</v>
      </c>
      <c r="G121" s="22">
        <v>840</v>
      </c>
      <c r="AG121" s="3">
        <v>840</v>
      </c>
      <c r="AN121" s="61"/>
    </row>
    <row r="122" spans="1:40" ht="18" customHeight="1" x14ac:dyDescent="0.25">
      <c r="A122" s="21">
        <v>990449626</v>
      </c>
      <c r="B122" s="26" t="s">
        <v>185</v>
      </c>
      <c r="C122" s="36" t="s">
        <v>186</v>
      </c>
      <c r="D122" s="22" t="s">
        <v>91</v>
      </c>
      <c r="E122" s="22" t="s">
        <v>10</v>
      </c>
      <c r="F122" s="32">
        <v>23</v>
      </c>
      <c r="G122" s="36">
        <v>1442</v>
      </c>
      <c r="P122" s="3" t="s">
        <v>236</v>
      </c>
      <c r="AK122">
        <v>1442</v>
      </c>
      <c r="AN122" s="61"/>
    </row>
    <row r="123" spans="1:40" ht="18" customHeight="1" x14ac:dyDescent="0.25">
      <c r="A123" s="21">
        <v>990384800</v>
      </c>
      <c r="B123" s="26" t="s">
        <v>48</v>
      </c>
      <c r="C123" s="24" t="s">
        <v>49</v>
      </c>
      <c r="D123" s="21" t="s">
        <v>18</v>
      </c>
      <c r="E123" s="22" t="s">
        <v>10</v>
      </c>
      <c r="F123" s="62">
        <v>105</v>
      </c>
      <c r="G123" s="35">
        <v>17776</v>
      </c>
      <c r="AF123" s="3">
        <v>3056</v>
      </c>
      <c r="AH123" s="3">
        <v>4000</v>
      </c>
      <c r="AI123" s="3">
        <v>3008</v>
      </c>
      <c r="AK123" s="3">
        <v>7712</v>
      </c>
      <c r="AN123" s="61"/>
    </row>
    <row r="124" spans="1:40" s="18" customFormat="1" ht="15" x14ac:dyDescent="0.25">
      <c r="A124" s="48">
        <v>990005585</v>
      </c>
      <c r="B124" s="49" t="s">
        <v>50</v>
      </c>
      <c r="C124" s="59" t="s">
        <v>49</v>
      </c>
      <c r="D124" s="48" t="s">
        <v>15</v>
      </c>
      <c r="E124" s="51" t="s">
        <v>10</v>
      </c>
      <c r="F124" s="58">
        <v>76</v>
      </c>
      <c r="G124" s="50">
        <v>300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H124" s="13">
        <v>100</v>
      </c>
      <c r="AI124" s="13"/>
      <c r="AK124" s="18">
        <v>200</v>
      </c>
      <c r="AM124"/>
      <c r="AN124" s="61"/>
    </row>
    <row r="125" spans="1:40" s="18" customFormat="1" ht="15" x14ac:dyDescent="0.25">
      <c r="A125" s="48">
        <v>990449121</v>
      </c>
      <c r="B125" s="49" t="s">
        <v>187</v>
      </c>
      <c r="C125" s="50" t="s">
        <v>49</v>
      </c>
      <c r="D125" s="51" t="s">
        <v>91</v>
      </c>
      <c r="E125" s="51" t="s">
        <v>10</v>
      </c>
      <c r="F125" s="58">
        <v>80</v>
      </c>
      <c r="G125" s="50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H125" s="13"/>
      <c r="AI125" s="13"/>
      <c r="AM125"/>
      <c r="AN125" s="61"/>
    </row>
    <row r="126" spans="1:40" ht="18" customHeight="1" x14ac:dyDescent="0.25">
      <c r="A126" s="23">
        <v>990020803</v>
      </c>
      <c r="B126" s="26" t="s">
        <v>59</v>
      </c>
      <c r="C126" s="24" t="s">
        <v>49</v>
      </c>
      <c r="D126" s="21" t="s">
        <v>18</v>
      </c>
      <c r="E126" s="22" t="s">
        <v>10</v>
      </c>
      <c r="F126" s="32">
        <v>79.5</v>
      </c>
      <c r="G126" s="36">
        <v>2513</v>
      </c>
      <c r="AK126">
        <v>2513</v>
      </c>
      <c r="AN126" s="61"/>
    </row>
    <row r="127" spans="1:40" s="18" customFormat="1" ht="15" x14ac:dyDescent="0.25">
      <c r="A127" s="48">
        <v>990477824</v>
      </c>
      <c r="B127" s="53" t="s">
        <v>223</v>
      </c>
      <c r="C127" s="30" t="s">
        <v>49</v>
      </c>
      <c r="D127" s="54" t="s">
        <v>18</v>
      </c>
      <c r="E127" s="55" t="s">
        <v>10</v>
      </c>
      <c r="F127" s="58">
        <v>95</v>
      </c>
      <c r="G127" s="50">
        <v>1160</v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H127" s="13">
        <v>1000</v>
      </c>
      <c r="AI127" s="13">
        <v>160</v>
      </c>
      <c r="AM127"/>
      <c r="AN127" s="61"/>
    </row>
    <row r="128" spans="1:40" s="18" customFormat="1" ht="15" x14ac:dyDescent="0.25">
      <c r="A128" s="48">
        <v>990470545</v>
      </c>
      <c r="B128" s="53" t="s">
        <v>224</v>
      </c>
      <c r="C128" s="30" t="s">
        <v>49</v>
      </c>
      <c r="D128" s="54" t="s">
        <v>18</v>
      </c>
      <c r="E128" s="55" t="s">
        <v>10</v>
      </c>
      <c r="F128" s="58">
        <v>99</v>
      </c>
      <c r="G128" s="50">
        <v>1000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H128" s="13"/>
      <c r="AI128" s="13"/>
      <c r="AK128" s="18">
        <v>1000</v>
      </c>
      <c r="AM128"/>
      <c r="AN128" s="61"/>
    </row>
    <row r="129" spans="1:40" s="18" customFormat="1" ht="45" x14ac:dyDescent="0.25">
      <c r="A129" s="60">
        <v>990433767</v>
      </c>
      <c r="B129" s="49" t="s">
        <v>141</v>
      </c>
      <c r="C129" s="59" t="s">
        <v>14</v>
      </c>
      <c r="D129" s="48" t="s">
        <v>67</v>
      </c>
      <c r="E129" s="51" t="s">
        <v>134</v>
      </c>
      <c r="F129" s="58">
        <v>31</v>
      </c>
      <c r="G129" s="50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H129" s="13"/>
      <c r="AI129" s="13"/>
      <c r="AM129"/>
      <c r="AN129" s="61"/>
    </row>
    <row r="130" spans="1:40" ht="18" customHeight="1" x14ac:dyDescent="0.25">
      <c r="A130" s="24">
        <v>984179182</v>
      </c>
      <c r="B130" s="26" t="s">
        <v>229</v>
      </c>
      <c r="C130" s="21" t="s">
        <v>14</v>
      </c>
      <c r="D130" s="21" t="s">
        <v>15</v>
      </c>
      <c r="E130" s="22" t="s">
        <v>10</v>
      </c>
      <c r="F130" s="32">
        <v>44</v>
      </c>
      <c r="G130" s="36">
        <v>5887</v>
      </c>
      <c r="AG130" s="3">
        <v>1000</v>
      </c>
      <c r="AJ130">
        <v>4887</v>
      </c>
      <c r="AN130" s="61"/>
    </row>
    <row r="131" spans="1:40" ht="18" customHeight="1" x14ac:dyDescent="0.25">
      <c r="A131" s="21">
        <v>990428560</v>
      </c>
      <c r="B131" s="26" t="s">
        <v>145</v>
      </c>
      <c r="C131" s="36" t="s">
        <v>14</v>
      </c>
      <c r="D131" s="22" t="s">
        <v>91</v>
      </c>
      <c r="E131" s="22" t="s">
        <v>10</v>
      </c>
      <c r="F131" s="32">
        <v>42</v>
      </c>
      <c r="G131" s="36"/>
      <c r="AN131" s="61"/>
    </row>
    <row r="132" spans="1:40" ht="18" customHeight="1" x14ac:dyDescent="0.25">
      <c r="A132" s="21">
        <v>990417420</v>
      </c>
      <c r="B132" s="26" t="s">
        <v>105</v>
      </c>
      <c r="C132" s="36" t="s">
        <v>14</v>
      </c>
      <c r="D132" s="22" t="s">
        <v>96</v>
      </c>
      <c r="E132" s="22" t="s">
        <v>10</v>
      </c>
      <c r="F132" s="32">
        <v>28</v>
      </c>
      <c r="G132" s="36"/>
      <c r="AN132" s="61"/>
    </row>
    <row r="133" spans="1:40" ht="18" customHeight="1" x14ac:dyDescent="0.25">
      <c r="A133" s="21">
        <v>990417429</v>
      </c>
      <c r="B133" s="26" t="s">
        <v>106</v>
      </c>
      <c r="C133" s="36" t="s">
        <v>14</v>
      </c>
      <c r="D133" s="22" t="s">
        <v>96</v>
      </c>
      <c r="E133" s="22" t="s">
        <v>10</v>
      </c>
      <c r="F133" s="32">
        <v>34</v>
      </c>
      <c r="G133" s="36"/>
      <c r="AN133" s="61"/>
    </row>
    <row r="134" spans="1:40" ht="18" customHeight="1" x14ac:dyDescent="0.25">
      <c r="A134" s="24">
        <v>990433374</v>
      </c>
      <c r="B134" s="26" t="s">
        <v>118</v>
      </c>
      <c r="C134" s="36" t="s">
        <v>14</v>
      </c>
      <c r="D134" s="22" t="s">
        <v>91</v>
      </c>
      <c r="E134" s="22" t="s">
        <v>10</v>
      </c>
      <c r="F134" s="62">
        <v>52</v>
      </c>
      <c r="G134" s="36">
        <v>3718</v>
      </c>
      <c r="AG134" s="3">
        <v>1023</v>
      </c>
      <c r="AK134">
        <v>2739</v>
      </c>
      <c r="AN134" s="61"/>
    </row>
    <row r="135" spans="1:40" ht="18" customHeight="1" x14ac:dyDescent="0.25">
      <c r="A135" s="23">
        <v>980423793</v>
      </c>
      <c r="B135" s="26" t="s">
        <v>13</v>
      </c>
      <c r="C135" s="21" t="s">
        <v>14</v>
      </c>
      <c r="D135" s="21" t="s">
        <v>15</v>
      </c>
      <c r="E135" s="22" t="s">
        <v>10</v>
      </c>
      <c r="F135" s="62">
        <v>34.85</v>
      </c>
      <c r="G135" s="35">
        <v>21826</v>
      </c>
      <c r="K135" s="16"/>
      <c r="T135" s="16"/>
      <c r="AH135" s="3">
        <v>3024</v>
      </c>
      <c r="AK135" s="61">
        <v>18864</v>
      </c>
      <c r="AN135" s="61"/>
    </row>
    <row r="136" spans="1:40" ht="18" customHeight="1" x14ac:dyDescent="0.25">
      <c r="A136" s="21">
        <v>990417327</v>
      </c>
      <c r="B136" s="26" t="s">
        <v>107</v>
      </c>
      <c r="C136" s="24" t="s">
        <v>14</v>
      </c>
      <c r="D136" s="22" t="s">
        <v>91</v>
      </c>
      <c r="E136" s="22" t="s">
        <v>10</v>
      </c>
      <c r="F136" s="31">
        <v>37</v>
      </c>
      <c r="G136" s="36"/>
      <c r="AN136" s="61"/>
    </row>
    <row r="137" spans="1:40" ht="18" customHeight="1" x14ac:dyDescent="0.25">
      <c r="A137" s="21">
        <v>984196848</v>
      </c>
      <c r="B137" s="26" t="s">
        <v>39</v>
      </c>
      <c r="C137" s="21" t="s">
        <v>40</v>
      </c>
      <c r="D137" s="21" t="s">
        <v>18</v>
      </c>
      <c r="E137" s="22" t="s">
        <v>10</v>
      </c>
      <c r="F137" s="32">
        <v>51</v>
      </c>
      <c r="G137" s="36"/>
      <c r="AN137" s="61"/>
    </row>
    <row r="138" spans="1:40" ht="18" customHeight="1" x14ac:dyDescent="0.25">
      <c r="A138" s="23">
        <v>990352388</v>
      </c>
      <c r="B138" s="26" t="s">
        <v>58</v>
      </c>
      <c r="C138" s="24" t="s">
        <v>40</v>
      </c>
      <c r="D138" s="21" t="s">
        <v>15</v>
      </c>
      <c r="E138" s="22" t="s">
        <v>10</v>
      </c>
      <c r="F138" s="32">
        <v>55</v>
      </c>
      <c r="G138" s="36"/>
      <c r="AN138" s="61"/>
    </row>
    <row r="139" spans="1:40" ht="18" customHeight="1" x14ac:dyDescent="0.25">
      <c r="A139" s="21">
        <v>990409474</v>
      </c>
      <c r="B139" s="26" t="s">
        <v>93</v>
      </c>
      <c r="C139" s="24" t="s">
        <v>94</v>
      </c>
      <c r="D139" s="21" t="s">
        <v>91</v>
      </c>
      <c r="E139" s="22" t="s">
        <v>10</v>
      </c>
      <c r="F139" s="32">
        <v>65</v>
      </c>
      <c r="G139" s="36"/>
      <c r="AN139" s="61"/>
    </row>
    <row r="140" spans="1:40" ht="18" customHeight="1" x14ac:dyDescent="0.25">
      <c r="A140" s="21">
        <v>990483881</v>
      </c>
      <c r="B140" s="27" t="s">
        <v>193</v>
      </c>
      <c r="C140" s="22" t="s">
        <v>192</v>
      </c>
      <c r="D140" s="22" t="s">
        <v>18</v>
      </c>
      <c r="E140" s="22" t="s">
        <v>10</v>
      </c>
      <c r="F140" s="32">
        <v>35</v>
      </c>
      <c r="G140" s="36">
        <v>3600</v>
      </c>
      <c r="AF140" s="3">
        <v>2487</v>
      </c>
      <c r="AG140" s="3">
        <v>1113</v>
      </c>
      <c r="AN140" s="61"/>
    </row>
    <row r="141" spans="1:40" ht="18" customHeight="1" x14ac:dyDescent="0.25">
      <c r="A141" s="21">
        <v>990482974</v>
      </c>
      <c r="B141" s="27" t="s">
        <v>196</v>
      </c>
      <c r="C141" s="22" t="s">
        <v>197</v>
      </c>
      <c r="D141" s="22" t="s">
        <v>18</v>
      </c>
      <c r="E141" s="22" t="s">
        <v>134</v>
      </c>
      <c r="F141" s="32">
        <v>19.5</v>
      </c>
      <c r="G141" s="36"/>
      <c r="AN141" s="61"/>
    </row>
    <row r="142" spans="1:40" ht="18" customHeight="1" x14ac:dyDescent="0.25">
      <c r="A142" s="21">
        <v>990441369</v>
      </c>
      <c r="B142" s="26" t="s">
        <v>130</v>
      </c>
      <c r="C142" s="36" t="s">
        <v>131</v>
      </c>
      <c r="D142" s="22" t="s">
        <v>91</v>
      </c>
      <c r="E142" s="22" t="s">
        <v>10</v>
      </c>
      <c r="F142" s="32">
        <v>155</v>
      </c>
      <c r="G142" s="36"/>
      <c r="AN142" s="61"/>
    </row>
    <row r="143" spans="1:40" ht="18" customHeight="1" x14ac:dyDescent="0.25">
      <c r="A143" s="21">
        <v>990470613</v>
      </c>
      <c r="B143" s="27" t="s">
        <v>225</v>
      </c>
      <c r="C143" s="30" t="s">
        <v>131</v>
      </c>
      <c r="D143" s="20" t="s">
        <v>15</v>
      </c>
      <c r="E143" s="46" t="s">
        <v>10</v>
      </c>
      <c r="F143" s="32">
        <v>99</v>
      </c>
      <c r="G143" s="36"/>
      <c r="AN143" s="61"/>
    </row>
    <row r="144" spans="1:40" ht="18" customHeight="1" x14ac:dyDescent="0.25">
      <c r="A144" s="25">
        <v>990409958</v>
      </c>
      <c r="B144" s="26" t="s">
        <v>133</v>
      </c>
      <c r="C144" s="36" t="s">
        <v>131</v>
      </c>
      <c r="D144" s="22" t="s">
        <v>91</v>
      </c>
      <c r="E144" s="22" t="s">
        <v>134</v>
      </c>
      <c r="F144" s="32">
        <v>140</v>
      </c>
      <c r="G144" s="36">
        <v>100</v>
      </c>
      <c r="AG144" s="3">
        <v>100</v>
      </c>
      <c r="AN144" s="61"/>
    </row>
    <row r="145" spans="1:40" ht="18" customHeight="1" x14ac:dyDescent="0.25">
      <c r="A145" s="25">
        <v>990441492</v>
      </c>
      <c r="B145" s="26" t="s">
        <v>132</v>
      </c>
      <c r="C145" s="36" t="s">
        <v>131</v>
      </c>
      <c r="D145" s="22" t="s">
        <v>91</v>
      </c>
      <c r="E145" s="22" t="s">
        <v>10</v>
      </c>
      <c r="F145" s="32">
        <v>140</v>
      </c>
      <c r="G145" s="36">
        <v>100</v>
      </c>
      <c r="AG145" s="3">
        <v>100</v>
      </c>
      <c r="AN145" s="61"/>
    </row>
    <row r="146" spans="1:40" ht="18" customHeight="1" x14ac:dyDescent="0.25">
      <c r="A146" s="21">
        <v>990433626</v>
      </c>
      <c r="B146" s="26" t="s">
        <v>146</v>
      </c>
      <c r="C146" s="36" t="s">
        <v>22</v>
      </c>
      <c r="D146" s="22" t="s">
        <v>147</v>
      </c>
      <c r="E146" s="22" t="s">
        <v>10</v>
      </c>
      <c r="F146" s="32">
        <v>85.86</v>
      </c>
      <c r="G146" s="36"/>
      <c r="AN146" s="61"/>
    </row>
    <row r="147" spans="1:40" s="18" customFormat="1" ht="30" x14ac:dyDescent="0.25">
      <c r="A147" s="48">
        <v>990401489</v>
      </c>
      <c r="B147" s="49" t="s">
        <v>99</v>
      </c>
      <c r="C147" s="59" t="s">
        <v>22</v>
      </c>
      <c r="D147" s="48" t="s">
        <v>67</v>
      </c>
      <c r="E147" s="51" t="s">
        <v>10</v>
      </c>
      <c r="F147" s="58">
        <v>60</v>
      </c>
      <c r="G147" s="50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M147"/>
      <c r="AN147" s="61"/>
    </row>
    <row r="148" spans="1:40" s="18" customFormat="1" ht="15" x14ac:dyDescent="0.25">
      <c r="A148" s="48">
        <v>990433583</v>
      </c>
      <c r="B148" s="57" t="s">
        <v>144</v>
      </c>
      <c r="C148" s="50" t="s">
        <v>22</v>
      </c>
      <c r="D148" s="51" t="s">
        <v>67</v>
      </c>
      <c r="E148" s="51" t="s">
        <v>10</v>
      </c>
      <c r="F148" s="58">
        <v>92</v>
      </c>
      <c r="G148" s="50">
        <v>300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>
        <v>300</v>
      </c>
      <c r="AH148" s="13"/>
      <c r="AI148" s="13"/>
      <c r="AM148"/>
      <c r="AN148" s="61"/>
    </row>
    <row r="149" spans="1:40" ht="18" customHeight="1" x14ac:dyDescent="0.25">
      <c r="A149" s="21">
        <v>990469950</v>
      </c>
      <c r="B149" s="27" t="s">
        <v>226</v>
      </c>
      <c r="C149" s="30" t="s">
        <v>227</v>
      </c>
      <c r="D149" s="20" t="s">
        <v>91</v>
      </c>
      <c r="E149" s="46" t="s">
        <v>10</v>
      </c>
      <c r="F149" s="32">
        <v>88</v>
      </c>
      <c r="G149" s="36"/>
      <c r="AN149" s="61"/>
    </row>
    <row r="150" spans="1:40" ht="18" customHeight="1" x14ac:dyDescent="0.25">
      <c r="A150" s="21">
        <v>990470614</v>
      </c>
      <c r="B150" s="27" t="s">
        <v>228</v>
      </c>
      <c r="C150" s="30" t="s">
        <v>227</v>
      </c>
      <c r="D150" s="20" t="s">
        <v>27</v>
      </c>
      <c r="E150" s="46" t="s">
        <v>10</v>
      </c>
      <c r="F150" s="32">
        <v>90</v>
      </c>
      <c r="G150" s="36"/>
      <c r="AN150" s="61"/>
    </row>
    <row r="151" spans="1:40" ht="18" customHeight="1" x14ac:dyDescent="0.25">
      <c r="A151" s="23">
        <v>980430163</v>
      </c>
      <c r="B151" s="26" t="s">
        <v>21</v>
      </c>
      <c r="C151" s="21" t="s">
        <v>22</v>
      </c>
      <c r="D151" s="21" t="s">
        <v>23</v>
      </c>
      <c r="E151" s="22" t="s">
        <v>10</v>
      </c>
      <c r="F151" s="32">
        <v>55</v>
      </c>
      <c r="G151" s="35">
        <v>11400</v>
      </c>
      <c r="AG151" s="3">
        <v>3000</v>
      </c>
      <c r="AK151">
        <v>8400</v>
      </c>
      <c r="AN151" s="61"/>
    </row>
    <row r="152" spans="1:40" ht="18" customHeight="1" x14ac:dyDescent="0.25">
      <c r="A152" s="21">
        <v>984186849</v>
      </c>
      <c r="B152" s="26" t="s">
        <v>35</v>
      </c>
      <c r="C152" s="21" t="s">
        <v>22</v>
      </c>
      <c r="D152" s="21" t="s">
        <v>36</v>
      </c>
      <c r="E152" s="22" t="s">
        <v>10</v>
      </c>
      <c r="F152" s="32">
        <v>71.849999999999994</v>
      </c>
      <c r="G152" s="35">
        <v>11233</v>
      </c>
      <c r="J152" s="16"/>
      <c r="K152" s="16"/>
      <c r="L152" s="16"/>
      <c r="W152" s="16"/>
      <c r="AG152" s="3">
        <v>1000</v>
      </c>
      <c r="AH152" s="3">
        <v>3000</v>
      </c>
      <c r="AK152">
        <v>7233</v>
      </c>
      <c r="AN152" s="61"/>
    </row>
    <row r="154" spans="1:40" ht="20.100000000000001" customHeight="1" x14ac:dyDescent="0.25">
      <c r="A154" s="22"/>
      <c r="B154" s="68" t="s">
        <v>241</v>
      </c>
      <c r="C154" s="22"/>
      <c r="D154" s="67"/>
      <c r="E154" s="67"/>
      <c r="F154" s="22"/>
      <c r="G154" s="22"/>
    </row>
    <row r="155" spans="1:40" s="70" customFormat="1" ht="20.100000000000001" customHeight="1" x14ac:dyDescent="0.25">
      <c r="A155" s="28">
        <v>980436545</v>
      </c>
      <c r="B155" s="26" t="s">
        <v>37</v>
      </c>
      <c r="C155" s="24" t="s">
        <v>38</v>
      </c>
      <c r="D155" s="24" t="s">
        <v>9</v>
      </c>
      <c r="E155" s="36" t="s">
        <v>10</v>
      </c>
      <c r="F155" s="31">
        <v>0</v>
      </c>
      <c r="G155" s="36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</row>
    <row r="156" spans="1:40" s="70" customFormat="1" ht="20.100000000000001" customHeight="1" x14ac:dyDescent="0.25">
      <c r="A156" s="69"/>
      <c r="B156" s="71"/>
      <c r="C156" s="69"/>
      <c r="D156" s="72"/>
      <c r="E156" s="72"/>
      <c r="F156" s="69"/>
      <c r="G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</row>
  </sheetData>
  <sortState xmlns:xlrd2="http://schemas.microsoft.com/office/spreadsheetml/2017/richdata2" ref="A4:G154">
    <sortCondition ref="B3:B154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</dc:creator>
  <cp:lastModifiedBy>Priti</cp:lastModifiedBy>
  <dcterms:created xsi:type="dcterms:W3CDTF">2015-06-05T18:17:20Z</dcterms:created>
  <dcterms:modified xsi:type="dcterms:W3CDTF">2026-02-09T16:26:06Z</dcterms:modified>
</cp:coreProperties>
</file>